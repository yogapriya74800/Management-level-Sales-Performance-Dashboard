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KPI Analysis" sheetId="2" state="visible" r:id="rId2"/>
    <sheet xmlns:r="http://schemas.openxmlformats.org/officeDocument/2006/relationships" name="Summary KPI" sheetId="3" state="visible" r:id="rId3"/>
    <sheet xmlns:r="http://schemas.openxmlformats.org/officeDocument/2006/relationships" name="DAX Measures (Power BI)" sheetId="4" state="visible" r:id="rId4"/>
    <sheet xmlns:r="http://schemas.openxmlformats.org/officeDocument/2006/relationships" name="Business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sz val="11"/>
    </font>
    <font>
      <name val="Arial"/>
      <b val="1"/>
      <color rgb="001F4E79"/>
      <sz val="13"/>
    </font>
    <font>
      <name val="Arial"/>
      <b val="1"/>
      <sz val="10"/>
    </font>
    <font>
      <name val="Courier New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1" applyAlignment="1" pivotButton="0" quotePrefix="0" xfId="0">
      <alignment horizontal="left" vertical="center"/>
    </xf>
    <xf numFmtId="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4" fontId="5" fillId="5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8" customWidth="1" min="5" max="5"/>
    <col width="14" customWidth="1" min="6" max="6"/>
    <col width="14" customWidth="1" min="7" max="7"/>
    <col width="12" customWidth="1" min="8" max="8"/>
  </cols>
  <sheetData>
    <row r="1" ht="22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</row>
    <row r="2">
      <c r="A2" s="2" t="inlineStr">
        <is>
          <t>ORD-1001</t>
        </is>
      </c>
      <c r="B2" s="3" t="n">
        <v>45432</v>
      </c>
      <c r="C2" s="2" t="inlineStr">
        <is>
          <t>North</t>
        </is>
      </c>
      <c r="D2" s="2" t="inlineStr">
        <is>
          <t>Pen Set</t>
        </is>
      </c>
      <c r="E2" s="2" t="inlineStr">
        <is>
          <t>Office Supplies</t>
        </is>
      </c>
      <c r="F2" s="4" t="n">
        <v>5667.76</v>
      </c>
      <c r="G2" s="4" t="n">
        <v>1997.85</v>
      </c>
      <c r="H2" s="2" t="n">
        <v>8</v>
      </c>
    </row>
    <row r="3">
      <c r="A3" s="5" t="inlineStr">
        <is>
          <t>ORD-1002</t>
        </is>
      </c>
      <c r="B3" s="6" t="n">
        <v>45594</v>
      </c>
      <c r="C3" s="5" t="inlineStr">
        <is>
          <t>North</t>
        </is>
      </c>
      <c r="D3" s="5" t="inlineStr">
        <is>
          <t>Markers</t>
        </is>
      </c>
      <c r="E3" s="5" t="inlineStr">
        <is>
          <t>Office Supplies</t>
        </is>
      </c>
      <c r="F3" s="7" t="n">
        <v>2012.64</v>
      </c>
      <c r="G3" s="7" t="n">
        <v>230.78</v>
      </c>
      <c r="H3" s="5" t="n">
        <v>14</v>
      </c>
    </row>
    <row r="4">
      <c r="A4" s="2" t="inlineStr">
        <is>
          <t>ORD-1003</t>
        </is>
      </c>
      <c r="B4" s="3" t="n">
        <v>45579</v>
      </c>
      <c r="C4" s="2" t="inlineStr">
        <is>
          <t>North</t>
        </is>
      </c>
      <c r="D4" s="2" t="inlineStr">
        <is>
          <t>Headphones</t>
        </is>
      </c>
      <c r="E4" s="2" t="inlineStr">
        <is>
          <t>Electronics</t>
        </is>
      </c>
      <c r="F4" s="4" t="n">
        <v>15135.82</v>
      </c>
      <c r="G4" s="4" t="n">
        <v>5138.46</v>
      </c>
      <c r="H4" s="2" t="n">
        <v>7</v>
      </c>
    </row>
    <row r="5">
      <c r="A5" s="5" t="inlineStr">
        <is>
          <t>ORD-1004</t>
        </is>
      </c>
      <c r="B5" s="6" t="n">
        <v>45593</v>
      </c>
      <c r="C5" s="5" t="inlineStr">
        <is>
          <t>West</t>
        </is>
      </c>
      <c r="D5" s="5" t="inlineStr">
        <is>
          <t>Desk</t>
        </is>
      </c>
      <c r="E5" s="5" t="inlineStr">
        <is>
          <t>Furniture</t>
        </is>
      </c>
      <c r="F5" s="7" t="n">
        <v>21940.38</v>
      </c>
      <c r="G5" s="7" t="n">
        <v>1807.99</v>
      </c>
      <c r="H5" s="5" t="n">
        <v>9</v>
      </c>
    </row>
    <row r="6">
      <c r="A6" s="2" t="inlineStr">
        <is>
          <t>ORD-1005</t>
        </is>
      </c>
      <c r="B6" s="3" t="n">
        <v>45434</v>
      </c>
      <c r="C6" s="2" t="inlineStr">
        <is>
          <t>East</t>
        </is>
      </c>
      <c r="D6" s="2" t="inlineStr">
        <is>
          <t>Monitor</t>
        </is>
      </c>
      <c r="E6" s="2" t="inlineStr">
        <is>
          <t>Electronics</t>
        </is>
      </c>
      <c r="F6" s="4" t="n">
        <v>3425.9</v>
      </c>
      <c r="G6" s="4" t="n">
        <v>1241.86</v>
      </c>
      <c r="H6" s="2" t="n">
        <v>5</v>
      </c>
    </row>
    <row r="7">
      <c r="A7" s="5" t="inlineStr">
        <is>
          <t>ORD-1006</t>
        </is>
      </c>
      <c r="B7" s="6" t="n">
        <v>45341</v>
      </c>
      <c r="C7" s="5" t="inlineStr">
        <is>
          <t>West</t>
        </is>
      </c>
      <c r="D7" s="5" t="inlineStr">
        <is>
          <t>Laptop</t>
        </is>
      </c>
      <c r="E7" s="5" t="inlineStr">
        <is>
          <t>Electronics</t>
        </is>
      </c>
      <c r="F7" s="7" t="n">
        <v>30601.32</v>
      </c>
      <c r="G7" s="7" t="n">
        <v>9283.790000000001</v>
      </c>
      <c r="H7" s="5" t="n">
        <v>12</v>
      </c>
    </row>
    <row r="8">
      <c r="A8" s="2" t="inlineStr">
        <is>
          <t>ORD-1007</t>
        </is>
      </c>
      <c r="B8" s="3" t="n">
        <v>45485</v>
      </c>
      <c r="C8" s="2" t="inlineStr">
        <is>
          <t>North</t>
        </is>
      </c>
      <c r="D8" s="2" t="inlineStr">
        <is>
          <t>Monitor</t>
        </is>
      </c>
      <c r="E8" s="2" t="inlineStr">
        <is>
          <t>Electronics</t>
        </is>
      </c>
      <c r="F8" s="4" t="n">
        <v>5035.56</v>
      </c>
      <c r="G8" s="4" t="n">
        <v>1948.16</v>
      </c>
      <c r="H8" s="2" t="n">
        <v>3</v>
      </c>
    </row>
    <row r="9">
      <c r="A9" s="5" t="inlineStr">
        <is>
          <t>ORD-1008</t>
        </is>
      </c>
      <c r="B9" s="6" t="n">
        <v>45652</v>
      </c>
      <c r="C9" s="5" t="inlineStr">
        <is>
          <t>South</t>
        </is>
      </c>
      <c r="D9" s="5" t="inlineStr">
        <is>
          <t>Stapler</t>
        </is>
      </c>
      <c r="E9" s="5" t="inlineStr">
        <is>
          <t>Office Supplies</t>
        </is>
      </c>
      <c r="F9" s="7" t="n">
        <v>555.54</v>
      </c>
      <c r="G9" s="7" t="n">
        <v>91.29000000000001</v>
      </c>
      <c r="H9" s="5" t="n">
        <v>3</v>
      </c>
    </row>
    <row r="10">
      <c r="A10" s="2" t="inlineStr">
        <is>
          <t>ORD-1009</t>
        </is>
      </c>
      <c r="B10" s="3" t="n">
        <v>45343</v>
      </c>
      <c r="C10" s="2" t="inlineStr">
        <is>
          <t>South</t>
        </is>
      </c>
      <c r="D10" s="2" t="inlineStr">
        <is>
          <t>Chair</t>
        </is>
      </c>
      <c r="E10" s="2" t="inlineStr">
        <is>
          <t>Furniture</t>
        </is>
      </c>
      <c r="F10" s="4" t="n">
        <v>11310.26</v>
      </c>
      <c r="G10" s="4" t="n">
        <v>3565.03</v>
      </c>
      <c r="H10" s="2" t="n">
        <v>13</v>
      </c>
    </row>
    <row r="11">
      <c r="A11" s="5" t="inlineStr">
        <is>
          <t>ORD-1010</t>
        </is>
      </c>
      <c r="B11" s="6" t="n">
        <v>45473</v>
      </c>
      <c r="C11" s="5" t="inlineStr">
        <is>
          <t>East</t>
        </is>
      </c>
      <c r="D11" s="5" t="inlineStr">
        <is>
          <t>Desk</t>
        </is>
      </c>
      <c r="E11" s="5" t="inlineStr">
        <is>
          <t>Furniture</t>
        </is>
      </c>
      <c r="F11" s="7" t="n">
        <v>14189.14</v>
      </c>
      <c r="G11" s="7" t="n">
        <v>4819.68</v>
      </c>
      <c r="H11" s="5" t="n">
        <v>7</v>
      </c>
    </row>
    <row r="12">
      <c r="A12" s="2" t="inlineStr">
        <is>
          <t>ORD-1011</t>
        </is>
      </c>
      <c r="B12" s="3" t="n">
        <v>45565</v>
      </c>
      <c r="C12" s="2" t="inlineStr">
        <is>
          <t>South</t>
        </is>
      </c>
      <c r="D12" s="2" t="inlineStr">
        <is>
          <t>Pen Set</t>
        </is>
      </c>
      <c r="E12" s="2" t="inlineStr">
        <is>
          <t>Office Supplies</t>
        </is>
      </c>
      <c r="F12" s="4" t="n">
        <v>4256.32</v>
      </c>
      <c r="G12" s="4" t="n">
        <v>938.09</v>
      </c>
      <c r="H12" s="2" t="n">
        <v>8</v>
      </c>
    </row>
    <row r="13">
      <c r="A13" s="5" t="inlineStr">
        <is>
          <t>ORD-1012</t>
        </is>
      </c>
      <c r="B13" s="6" t="n">
        <v>45642</v>
      </c>
      <c r="C13" s="5" t="inlineStr">
        <is>
          <t>South</t>
        </is>
      </c>
      <c r="D13" s="5" t="inlineStr">
        <is>
          <t>Markers</t>
        </is>
      </c>
      <c r="E13" s="5" t="inlineStr">
        <is>
          <t>Office Supplies</t>
        </is>
      </c>
      <c r="F13" s="7" t="n">
        <v>27900.51</v>
      </c>
      <c r="G13" s="7" t="n">
        <v>10242.83</v>
      </c>
      <c r="H13" s="5" t="n">
        <v>11</v>
      </c>
    </row>
    <row r="14">
      <c r="A14" s="2" t="inlineStr">
        <is>
          <t>ORD-1013</t>
        </is>
      </c>
      <c r="B14" s="3" t="n">
        <v>45497</v>
      </c>
      <c r="C14" s="2" t="inlineStr">
        <is>
          <t>East</t>
        </is>
      </c>
      <c r="D14" s="2" t="inlineStr">
        <is>
          <t>Laptop</t>
        </is>
      </c>
      <c r="E14" s="2" t="inlineStr">
        <is>
          <t>Electronics</t>
        </is>
      </c>
      <c r="F14" s="4" t="n">
        <v>2207.34</v>
      </c>
      <c r="G14" s="4" t="n">
        <v>922.36</v>
      </c>
      <c r="H14" s="2" t="n">
        <v>9</v>
      </c>
    </row>
    <row r="15">
      <c r="A15" s="5" t="inlineStr">
        <is>
          <t>ORD-1014</t>
        </is>
      </c>
      <c r="B15" s="6" t="n">
        <v>45627</v>
      </c>
      <c r="C15" s="5" t="inlineStr">
        <is>
          <t>South</t>
        </is>
      </c>
      <c r="D15" s="5" t="inlineStr">
        <is>
          <t>Stapler</t>
        </is>
      </c>
      <c r="E15" s="5" t="inlineStr">
        <is>
          <t>Office Supplies</t>
        </is>
      </c>
      <c r="F15" s="7" t="n">
        <v>19473.76</v>
      </c>
      <c r="G15" s="7" t="n">
        <v>8147.48</v>
      </c>
      <c r="H15" s="5" t="n">
        <v>16</v>
      </c>
    </row>
    <row r="16">
      <c r="A16" s="2" t="inlineStr">
        <is>
          <t>ORD-1015</t>
        </is>
      </c>
      <c r="B16" s="3" t="n">
        <v>45363</v>
      </c>
      <c r="C16" s="2" t="inlineStr">
        <is>
          <t>East</t>
        </is>
      </c>
      <c r="D16" s="2" t="inlineStr">
        <is>
          <t>Desk</t>
        </is>
      </c>
      <c r="E16" s="2" t="inlineStr">
        <is>
          <t>Furniture</t>
        </is>
      </c>
      <c r="F16" s="4" t="n">
        <v>17981.76</v>
      </c>
      <c r="G16" s="4" t="n">
        <v>5024.49</v>
      </c>
      <c r="H16" s="2" t="n">
        <v>8</v>
      </c>
    </row>
    <row r="17">
      <c r="A17" s="5" t="inlineStr">
        <is>
          <t>ORD-1016</t>
        </is>
      </c>
      <c r="B17" s="6" t="n">
        <v>45590</v>
      </c>
      <c r="C17" s="5" t="inlineStr">
        <is>
          <t>West</t>
        </is>
      </c>
      <c r="D17" s="5" t="inlineStr">
        <is>
          <t>Markers</t>
        </is>
      </c>
      <c r="E17" s="5" t="inlineStr">
        <is>
          <t>Office Supplies</t>
        </is>
      </c>
      <c r="F17" s="7" t="n">
        <v>14532.57</v>
      </c>
      <c r="G17" s="7" t="n">
        <v>6525.28</v>
      </c>
      <c r="H17" s="5" t="n">
        <v>13</v>
      </c>
    </row>
    <row r="18">
      <c r="A18" s="2" t="inlineStr">
        <is>
          <t>ORD-1017</t>
        </is>
      </c>
      <c r="B18" s="3" t="n">
        <v>45338</v>
      </c>
      <c r="C18" s="2" t="inlineStr">
        <is>
          <t>West</t>
        </is>
      </c>
      <c r="D18" s="2" t="inlineStr">
        <is>
          <t>Headphones</t>
        </is>
      </c>
      <c r="E18" s="2" t="inlineStr">
        <is>
          <t>Electronics</t>
        </is>
      </c>
      <c r="F18" s="4" t="n">
        <v>5180.5</v>
      </c>
      <c r="G18" s="4" t="n">
        <v>707.4</v>
      </c>
      <c r="H18" s="2" t="n">
        <v>2</v>
      </c>
    </row>
    <row r="19">
      <c r="A19" s="5" t="inlineStr">
        <is>
          <t>ORD-1018</t>
        </is>
      </c>
      <c r="B19" s="6" t="n">
        <v>45489</v>
      </c>
      <c r="C19" s="5" t="inlineStr">
        <is>
          <t>North</t>
        </is>
      </c>
      <c r="D19" s="5" t="inlineStr">
        <is>
          <t>Monitor</t>
        </is>
      </c>
      <c r="E19" s="5" t="inlineStr">
        <is>
          <t>Electronics</t>
        </is>
      </c>
      <c r="F19" s="7" t="n">
        <v>23502.31</v>
      </c>
      <c r="G19" s="7" t="n">
        <v>5950.28</v>
      </c>
      <c r="H19" s="5" t="n">
        <v>13</v>
      </c>
    </row>
    <row r="20">
      <c r="A20" s="2" t="inlineStr">
        <is>
          <t>ORD-1019</t>
        </is>
      </c>
      <c r="B20" s="3" t="n">
        <v>45640</v>
      </c>
      <c r="C20" s="2" t="inlineStr">
        <is>
          <t>North</t>
        </is>
      </c>
      <c r="D20" s="2" t="inlineStr">
        <is>
          <t>Sofa</t>
        </is>
      </c>
      <c r="E20" s="2" t="inlineStr">
        <is>
          <t>Furniture</t>
        </is>
      </c>
      <c r="F20" s="4" t="n">
        <v>8244.200000000001</v>
      </c>
      <c r="G20" s="4" t="n">
        <v>2297.49</v>
      </c>
      <c r="H20" s="2" t="n">
        <v>4</v>
      </c>
    </row>
    <row r="21">
      <c r="A21" s="5" t="inlineStr">
        <is>
          <t>ORD-1020</t>
        </is>
      </c>
      <c r="B21" s="6" t="n">
        <v>45442</v>
      </c>
      <c r="C21" s="5" t="inlineStr">
        <is>
          <t>North</t>
        </is>
      </c>
      <c r="D21" s="5" t="inlineStr">
        <is>
          <t>Bookshelf</t>
        </is>
      </c>
      <c r="E21" s="5" t="inlineStr">
        <is>
          <t>Furniture</t>
        </is>
      </c>
      <c r="F21" s="7" t="n">
        <v>7231.98</v>
      </c>
      <c r="G21" s="7" t="n">
        <v>587.24</v>
      </c>
      <c r="H21" s="5" t="n">
        <v>14</v>
      </c>
    </row>
    <row r="22">
      <c r="A22" s="2" t="inlineStr">
        <is>
          <t>ORD-1021</t>
        </is>
      </c>
      <c r="B22" s="3" t="n">
        <v>45551</v>
      </c>
      <c r="C22" s="2" t="inlineStr">
        <is>
          <t>South</t>
        </is>
      </c>
      <c r="D22" s="2" t="inlineStr">
        <is>
          <t>Stapler</t>
        </is>
      </c>
      <c r="E22" s="2" t="inlineStr">
        <is>
          <t>Office Supplies</t>
        </is>
      </c>
      <c r="F22" s="4" t="n">
        <v>10472.12</v>
      </c>
      <c r="G22" s="4" t="n">
        <v>1994.15</v>
      </c>
      <c r="H22" s="2" t="n">
        <v>4</v>
      </c>
    </row>
    <row r="23">
      <c r="A23" s="5" t="inlineStr">
        <is>
          <t>ORD-1022</t>
        </is>
      </c>
      <c r="B23" s="6" t="n">
        <v>45370</v>
      </c>
      <c r="C23" s="5" t="inlineStr">
        <is>
          <t>South</t>
        </is>
      </c>
      <c r="D23" s="5" t="inlineStr">
        <is>
          <t>Markers</t>
        </is>
      </c>
      <c r="E23" s="5" t="inlineStr">
        <is>
          <t>Office Supplies</t>
        </is>
      </c>
      <c r="F23" s="7" t="n">
        <v>27592.92</v>
      </c>
      <c r="G23" s="7" t="n">
        <v>7714.16</v>
      </c>
      <c r="H23" s="5" t="n">
        <v>12</v>
      </c>
    </row>
    <row r="24">
      <c r="A24" s="2" t="inlineStr">
        <is>
          <t>ORD-1023</t>
        </is>
      </c>
      <c r="B24" s="3" t="n">
        <v>45542</v>
      </c>
      <c r="C24" s="2" t="inlineStr">
        <is>
          <t>East</t>
        </is>
      </c>
      <c r="D24" s="2" t="inlineStr">
        <is>
          <t>Pen Set</t>
        </is>
      </c>
      <c r="E24" s="2" t="inlineStr">
        <is>
          <t>Office Supplies</t>
        </is>
      </c>
      <c r="F24" s="4" t="n">
        <v>380.01</v>
      </c>
      <c r="G24" s="4" t="n">
        <v>81.44</v>
      </c>
      <c r="H24" s="2" t="n">
        <v>1</v>
      </c>
    </row>
    <row r="25">
      <c r="A25" s="5" t="inlineStr">
        <is>
          <t>ORD-1024</t>
        </is>
      </c>
      <c r="B25" s="6" t="n">
        <v>45415</v>
      </c>
      <c r="C25" s="5" t="inlineStr">
        <is>
          <t>North</t>
        </is>
      </c>
      <c r="D25" s="5" t="inlineStr">
        <is>
          <t>Desk</t>
        </is>
      </c>
      <c r="E25" s="5" t="inlineStr">
        <is>
          <t>Furniture</t>
        </is>
      </c>
      <c r="F25" s="7" t="n">
        <v>54026.5</v>
      </c>
      <c r="G25" s="7" t="n">
        <v>6034.32</v>
      </c>
      <c r="H25" s="5" t="n">
        <v>19</v>
      </c>
    </row>
    <row r="26">
      <c r="A26" s="2" t="inlineStr">
        <is>
          <t>ORD-1025</t>
        </is>
      </c>
      <c r="B26" s="3" t="n">
        <v>45357</v>
      </c>
      <c r="C26" s="2" t="inlineStr">
        <is>
          <t>South</t>
        </is>
      </c>
      <c r="D26" s="2" t="inlineStr">
        <is>
          <t>Chair</t>
        </is>
      </c>
      <c r="E26" s="2" t="inlineStr">
        <is>
          <t>Furniture</t>
        </is>
      </c>
      <c r="F26" s="4" t="n">
        <v>45491.2</v>
      </c>
      <c r="G26" s="4" t="n">
        <v>6418.67</v>
      </c>
      <c r="H26" s="2" t="n">
        <v>16</v>
      </c>
    </row>
    <row r="27">
      <c r="A27" s="5" t="inlineStr">
        <is>
          <t>ORD-1026</t>
        </is>
      </c>
      <c r="B27" s="6" t="n">
        <v>45400</v>
      </c>
      <c r="C27" s="5" t="inlineStr">
        <is>
          <t>West</t>
        </is>
      </c>
      <c r="D27" s="5" t="inlineStr">
        <is>
          <t>Markers</t>
        </is>
      </c>
      <c r="E27" s="5" t="inlineStr">
        <is>
          <t>Office Supplies</t>
        </is>
      </c>
      <c r="F27" s="7" t="n">
        <v>41004.54</v>
      </c>
      <c r="G27" s="7" t="n">
        <v>13746.81</v>
      </c>
      <c r="H27" s="5" t="n">
        <v>18</v>
      </c>
    </row>
    <row r="28">
      <c r="A28" s="2" t="inlineStr">
        <is>
          <t>ORD-1027</t>
        </is>
      </c>
      <c r="B28" s="3" t="n">
        <v>45635</v>
      </c>
      <c r="C28" s="2" t="inlineStr">
        <is>
          <t>West</t>
        </is>
      </c>
      <c r="D28" s="2" t="inlineStr">
        <is>
          <t>Stapler</t>
        </is>
      </c>
      <c r="E28" s="2" t="inlineStr">
        <is>
          <t>Office Supplies</t>
        </is>
      </c>
      <c r="F28" s="4" t="n">
        <v>16108.8</v>
      </c>
      <c r="G28" s="4" t="n">
        <v>4373.59</v>
      </c>
      <c r="H28" s="2" t="n">
        <v>12</v>
      </c>
    </row>
    <row r="29">
      <c r="A29" s="5" t="inlineStr">
        <is>
          <t>ORD-1028</t>
        </is>
      </c>
      <c r="B29" s="6" t="n">
        <v>45324</v>
      </c>
      <c r="C29" s="5" t="inlineStr">
        <is>
          <t>South</t>
        </is>
      </c>
      <c r="D29" s="5" t="inlineStr">
        <is>
          <t>Phone</t>
        </is>
      </c>
      <c r="E29" s="5" t="inlineStr">
        <is>
          <t>Electronics</t>
        </is>
      </c>
      <c r="F29" s="7" t="n">
        <v>1232.55</v>
      </c>
      <c r="G29" s="7" t="n">
        <v>351.22</v>
      </c>
      <c r="H29" s="5" t="n">
        <v>11</v>
      </c>
    </row>
    <row r="30">
      <c r="A30" s="2" t="inlineStr">
        <is>
          <t>ORD-1029</t>
        </is>
      </c>
      <c r="B30" s="3" t="n">
        <v>45328</v>
      </c>
      <c r="C30" s="2" t="inlineStr">
        <is>
          <t>North</t>
        </is>
      </c>
      <c r="D30" s="2" t="inlineStr">
        <is>
          <t>Notebook</t>
        </is>
      </c>
      <c r="E30" s="2" t="inlineStr">
        <is>
          <t>Office Supplies</t>
        </is>
      </c>
      <c r="F30" s="4" t="n">
        <v>1450.76</v>
      </c>
      <c r="G30" s="4" t="n">
        <v>602.0700000000001</v>
      </c>
      <c r="H30" s="2" t="n">
        <v>2</v>
      </c>
    </row>
    <row r="31">
      <c r="A31" s="5" t="inlineStr">
        <is>
          <t>ORD-1030</t>
        </is>
      </c>
      <c r="B31" s="6" t="n">
        <v>45434</v>
      </c>
      <c r="C31" s="5" t="inlineStr">
        <is>
          <t>South</t>
        </is>
      </c>
      <c r="D31" s="5" t="inlineStr">
        <is>
          <t>Chair</t>
        </is>
      </c>
      <c r="E31" s="5" t="inlineStr">
        <is>
          <t>Furniture</t>
        </is>
      </c>
      <c r="F31" s="7" t="n">
        <v>10912</v>
      </c>
      <c r="G31" s="7" t="n">
        <v>1407.16</v>
      </c>
      <c r="H31" s="5" t="n">
        <v>16</v>
      </c>
    </row>
    <row r="32">
      <c r="A32" s="2" t="inlineStr">
        <is>
          <t>ORD-1031</t>
        </is>
      </c>
      <c r="B32" s="3" t="n">
        <v>45416</v>
      </c>
      <c r="C32" s="2" t="inlineStr">
        <is>
          <t>West</t>
        </is>
      </c>
      <c r="D32" s="2" t="inlineStr">
        <is>
          <t>Markers</t>
        </is>
      </c>
      <c r="E32" s="2" t="inlineStr">
        <is>
          <t>Office Supplies</t>
        </is>
      </c>
      <c r="F32" s="4" t="n">
        <v>38913.92</v>
      </c>
      <c r="G32" s="4" t="n">
        <v>5854.66</v>
      </c>
      <c r="H32" s="2" t="n">
        <v>16</v>
      </c>
    </row>
    <row r="33">
      <c r="A33" s="5" t="inlineStr">
        <is>
          <t>ORD-1032</t>
        </is>
      </c>
      <c r="B33" s="6" t="n">
        <v>45508</v>
      </c>
      <c r="C33" s="5" t="inlineStr">
        <is>
          <t>East</t>
        </is>
      </c>
      <c r="D33" s="5" t="inlineStr">
        <is>
          <t>Monitor</t>
        </is>
      </c>
      <c r="E33" s="5" t="inlineStr">
        <is>
          <t>Electronics</t>
        </is>
      </c>
      <c r="F33" s="7" t="n">
        <v>19988.08</v>
      </c>
      <c r="G33" s="7" t="n">
        <v>6990.99</v>
      </c>
      <c r="H33" s="5" t="n">
        <v>14</v>
      </c>
    </row>
    <row r="34">
      <c r="A34" s="2" t="inlineStr">
        <is>
          <t>ORD-1033</t>
        </is>
      </c>
      <c r="B34" s="3" t="n">
        <v>45498</v>
      </c>
      <c r="C34" s="2" t="inlineStr">
        <is>
          <t>North</t>
        </is>
      </c>
      <c r="D34" s="2" t="inlineStr">
        <is>
          <t>Pen Set</t>
        </is>
      </c>
      <c r="E34" s="2" t="inlineStr">
        <is>
          <t>Office Supplies</t>
        </is>
      </c>
      <c r="F34" s="4" t="n">
        <v>26529.25</v>
      </c>
      <c r="G34" s="4" t="n">
        <v>3194.91</v>
      </c>
      <c r="H34" s="2" t="n">
        <v>11</v>
      </c>
    </row>
    <row r="35">
      <c r="A35" s="5" t="inlineStr">
        <is>
          <t>ORD-1034</t>
        </is>
      </c>
      <c r="B35" s="6" t="n">
        <v>45363</v>
      </c>
      <c r="C35" s="5" t="inlineStr">
        <is>
          <t>West</t>
        </is>
      </c>
      <c r="D35" s="5" t="inlineStr">
        <is>
          <t>Phone</t>
        </is>
      </c>
      <c r="E35" s="5" t="inlineStr">
        <is>
          <t>Electronics</t>
        </is>
      </c>
      <c r="F35" s="7" t="n">
        <v>8278.059999999999</v>
      </c>
      <c r="G35" s="7" t="n">
        <v>2079.22</v>
      </c>
      <c r="H35" s="5" t="n">
        <v>14</v>
      </c>
    </row>
    <row r="36">
      <c r="A36" s="2" t="inlineStr">
        <is>
          <t>ORD-1035</t>
        </is>
      </c>
      <c r="B36" s="3" t="n">
        <v>45317</v>
      </c>
      <c r="C36" s="2" t="inlineStr">
        <is>
          <t>North</t>
        </is>
      </c>
      <c r="D36" s="2" t="inlineStr">
        <is>
          <t>Monitor</t>
        </is>
      </c>
      <c r="E36" s="2" t="inlineStr">
        <is>
          <t>Electronics</t>
        </is>
      </c>
      <c r="F36" s="4" t="n">
        <v>45293.04</v>
      </c>
      <c r="G36" s="4" t="n">
        <v>19862.29</v>
      </c>
      <c r="H36" s="2" t="n">
        <v>18</v>
      </c>
    </row>
    <row r="37">
      <c r="A37" s="5" t="inlineStr">
        <is>
          <t>ORD-1036</t>
        </is>
      </c>
      <c r="B37" s="6" t="n">
        <v>45540</v>
      </c>
      <c r="C37" s="5" t="inlineStr">
        <is>
          <t>West</t>
        </is>
      </c>
      <c r="D37" s="5" t="inlineStr">
        <is>
          <t>Phone</t>
        </is>
      </c>
      <c r="E37" s="5" t="inlineStr">
        <is>
          <t>Electronics</t>
        </is>
      </c>
      <c r="F37" s="7" t="n">
        <v>10888.8</v>
      </c>
      <c r="G37" s="7" t="n">
        <v>2486.84</v>
      </c>
      <c r="H37" s="5" t="n">
        <v>16</v>
      </c>
    </row>
    <row r="38">
      <c r="A38" s="2" t="inlineStr">
        <is>
          <t>ORD-1037</t>
        </is>
      </c>
      <c r="B38" s="3" t="n">
        <v>45293</v>
      </c>
      <c r="C38" s="2" t="inlineStr">
        <is>
          <t>West</t>
        </is>
      </c>
      <c r="D38" s="2" t="inlineStr">
        <is>
          <t>Phone</t>
        </is>
      </c>
      <c r="E38" s="2" t="inlineStr">
        <is>
          <t>Electronics</t>
        </is>
      </c>
      <c r="F38" s="4" t="n">
        <v>10820.55</v>
      </c>
      <c r="G38" s="4" t="n">
        <v>4004.75</v>
      </c>
      <c r="H38" s="2" t="n">
        <v>13</v>
      </c>
    </row>
    <row r="39">
      <c r="A39" s="5" t="inlineStr">
        <is>
          <t>ORD-1038</t>
        </is>
      </c>
      <c r="B39" s="6" t="n">
        <v>45648</v>
      </c>
      <c r="C39" s="5" t="inlineStr">
        <is>
          <t>West</t>
        </is>
      </c>
      <c r="D39" s="5" t="inlineStr">
        <is>
          <t>Bookshelf</t>
        </is>
      </c>
      <c r="E39" s="5" t="inlineStr">
        <is>
          <t>Furniture</t>
        </is>
      </c>
      <c r="F39" s="7" t="n">
        <v>36045.36</v>
      </c>
      <c r="G39" s="7" t="n">
        <v>9374.26</v>
      </c>
      <c r="H39" s="5" t="n">
        <v>18</v>
      </c>
    </row>
    <row r="40">
      <c r="A40" s="2" t="inlineStr">
        <is>
          <t>ORD-1039</t>
        </is>
      </c>
      <c r="B40" s="3" t="n">
        <v>45321</v>
      </c>
      <c r="C40" s="2" t="inlineStr">
        <is>
          <t>South</t>
        </is>
      </c>
      <c r="D40" s="2" t="inlineStr">
        <is>
          <t>Tablet</t>
        </is>
      </c>
      <c r="E40" s="2" t="inlineStr">
        <is>
          <t>Electronics</t>
        </is>
      </c>
      <c r="F40" s="4" t="n">
        <v>42187.98</v>
      </c>
      <c r="G40" s="4" t="n">
        <v>4326.56</v>
      </c>
      <c r="H40" s="2" t="n">
        <v>19</v>
      </c>
    </row>
    <row r="41">
      <c r="A41" s="5" t="inlineStr">
        <is>
          <t>ORD-1040</t>
        </is>
      </c>
      <c r="B41" s="6" t="n">
        <v>45591</v>
      </c>
      <c r="C41" s="5" t="inlineStr">
        <is>
          <t>North</t>
        </is>
      </c>
      <c r="D41" s="5" t="inlineStr">
        <is>
          <t>Chair</t>
        </is>
      </c>
      <c r="E41" s="5" t="inlineStr">
        <is>
          <t>Furniture</t>
        </is>
      </c>
      <c r="F41" s="7" t="n">
        <v>24534.56</v>
      </c>
      <c r="G41" s="7" t="n">
        <v>9703.57</v>
      </c>
      <c r="H41" s="5" t="n">
        <v>16</v>
      </c>
    </row>
    <row r="42">
      <c r="A42" s="2" t="inlineStr">
        <is>
          <t>ORD-1041</t>
        </is>
      </c>
      <c r="B42" s="3" t="n">
        <v>45387</v>
      </c>
      <c r="C42" s="2" t="inlineStr">
        <is>
          <t>North</t>
        </is>
      </c>
      <c r="D42" s="2" t="inlineStr">
        <is>
          <t>Laptop</t>
        </is>
      </c>
      <c r="E42" s="2" t="inlineStr">
        <is>
          <t>Electronics</t>
        </is>
      </c>
      <c r="F42" s="4" t="n">
        <v>5416.05</v>
      </c>
      <c r="G42" s="4" t="n">
        <v>1786.37</v>
      </c>
      <c r="H42" s="2" t="n">
        <v>3</v>
      </c>
    </row>
    <row r="43">
      <c r="A43" s="5" t="inlineStr">
        <is>
          <t>ORD-1042</t>
        </is>
      </c>
      <c r="B43" s="6" t="n">
        <v>45583</v>
      </c>
      <c r="C43" s="5" t="inlineStr">
        <is>
          <t>North</t>
        </is>
      </c>
      <c r="D43" s="5" t="inlineStr">
        <is>
          <t>Monitor</t>
        </is>
      </c>
      <c r="E43" s="5" t="inlineStr">
        <is>
          <t>Electronics</t>
        </is>
      </c>
      <c r="F43" s="7" t="n">
        <v>14062.48</v>
      </c>
      <c r="G43" s="7" t="n">
        <v>1331.78</v>
      </c>
      <c r="H43" s="5" t="n">
        <v>8</v>
      </c>
    </row>
    <row r="44">
      <c r="A44" s="2" t="inlineStr">
        <is>
          <t>ORD-1043</t>
        </is>
      </c>
      <c r="B44" s="3" t="n">
        <v>45425</v>
      </c>
      <c r="C44" s="2" t="inlineStr">
        <is>
          <t>East</t>
        </is>
      </c>
      <c r="D44" s="2" t="inlineStr">
        <is>
          <t>Monitor</t>
        </is>
      </c>
      <c r="E44" s="2" t="inlineStr">
        <is>
          <t>Electronics</t>
        </is>
      </c>
      <c r="F44" s="4" t="n">
        <v>14179.83</v>
      </c>
      <c r="G44" s="4" t="n">
        <v>2782.76</v>
      </c>
      <c r="H44" s="2" t="n">
        <v>7</v>
      </c>
    </row>
    <row r="45">
      <c r="A45" s="5" t="inlineStr">
        <is>
          <t>ORD-1044</t>
        </is>
      </c>
      <c r="B45" s="6" t="n">
        <v>45635</v>
      </c>
      <c r="C45" s="5" t="inlineStr">
        <is>
          <t>South</t>
        </is>
      </c>
      <c r="D45" s="5" t="inlineStr">
        <is>
          <t>Cabinet</t>
        </is>
      </c>
      <c r="E45" s="5" t="inlineStr">
        <is>
          <t>Furniture</t>
        </is>
      </c>
      <c r="F45" s="7" t="n">
        <v>13988.1</v>
      </c>
      <c r="G45" s="7" t="n">
        <v>5927.27</v>
      </c>
      <c r="H45" s="5" t="n">
        <v>10</v>
      </c>
    </row>
    <row r="46">
      <c r="A46" s="2" t="inlineStr">
        <is>
          <t>ORD-1045</t>
        </is>
      </c>
      <c r="B46" s="3" t="n">
        <v>45610</v>
      </c>
      <c r="C46" s="2" t="inlineStr">
        <is>
          <t>West</t>
        </is>
      </c>
      <c r="D46" s="2" t="inlineStr">
        <is>
          <t>Laptop</t>
        </is>
      </c>
      <c r="E46" s="2" t="inlineStr">
        <is>
          <t>Electronics</t>
        </is>
      </c>
      <c r="F46" s="4" t="n">
        <v>56781.12</v>
      </c>
      <c r="G46" s="4" t="n">
        <v>6081.63</v>
      </c>
      <c r="H46" s="2" t="n">
        <v>19</v>
      </c>
    </row>
    <row r="47">
      <c r="A47" s="5" t="inlineStr">
        <is>
          <t>ORD-1046</t>
        </is>
      </c>
      <c r="B47" s="6" t="n">
        <v>45359</v>
      </c>
      <c r="C47" s="5" t="inlineStr">
        <is>
          <t>East</t>
        </is>
      </c>
      <c r="D47" s="5" t="inlineStr">
        <is>
          <t>Headphones</t>
        </is>
      </c>
      <c r="E47" s="5" t="inlineStr">
        <is>
          <t>Electronics</t>
        </is>
      </c>
      <c r="F47" s="7" t="n">
        <v>31782.6</v>
      </c>
      <c r="G47" s="7" t="n">
        <v>12882.44</v>
      </c>
      <c r="H47" s="5" t="n">
        <v>12</v>
      </c>
    </row>
    <row r="48">
      <c r="A48" s="2" t="inlineStr">
        <is>
          <t>ORD-1047</t>
        </is>
      </c>
      <c r="B48" s="3" t="n">
        <v>45516</v>
      </c>
      <c r="C48" s="2" t="inlineStr">
        <is>
          <t>South</t>
        </is>
      </c>
      <c r="D48" s="2" t="inlineStr">
        <is>
          <t>Bookshelf</t>
        </is>
      </c>
      <c r="E48" s="2" t="inlineStr">
        <is>
          <t>Furniture</t>
        </is>
      </c>
      <c r="F48" s="4" t="n">
        <v>38257.92</v>
      </c>
      <c r="G48" s="4" t="n">
        <v>11719.2</v>
      </c>
      <c r="H48" s="2" t="n">
        <v>18</v>
      </c>
    </row>
    <row r="49">
      <c r="A49" s="5" t="inlineStr">
        <is>
          <t>ORD-1048</t>
        </is>
      </c>
      <c r="B49" s="6" t="n">
        <v>45633</v>
      </c>
      <c r="C49" s="5" t="inlineStr">
        <is>
          <t>North</t>
        </is>
      </c>
      <c r="D49" s="5" t="inlineStr">
        <is>
          <t>Markers</t>
        </is>
      </c>
      <c r="E49" s="5" t="inlineStr">
        <is>
          <t>Office Supplies</t>
        </is>
      </c>
      <c r="F49" s="7" t="n">
        <v>16797.06</v>
      </c>
      <c r="G49" s="7" t="n">
        <v>5466.67</v>
      </c>
      <c r="H49" s="5" t="n">
        <v>18</v>
      </c>
    </row>
    <row r="50">
      <c r="A50" s="2" t="inlineStr">
        <is>
          <t>ORD-1049</t>
        </is>
      </c>
      <c r="B50" s="3" t="n">
        <v>45346</v>
      </c>
      <c r="C50" s="2" t="inlineStr">
        <is>
          <t>North</t>
        </is>
      </c>
      <c r="D50" s="2" t="inlineStr">
        <is>
          <t>Tablet</t>
        </is>
      </c>
      <c r="E50" s="2" t="inlineStr">
        <is>
          <t>Electronics</t>
        </is>
      </c>
      <c r="F50" s="4" t="n">
        <v>9154.26</v>
      </c>
      <c r="G50" s="4" t="n">
        <v>1686.67</v>
      </c>
      <c r="H50" s="2" t="n">
        <v>18</v>
      </c>
    </row>
    <row r="51">
      <c r="A51" s="5" t="inlineStr">
        <is>
          <t>ORD-1050</t>
        </is>
      </c>
      <c r="B51" s="6" t="n">
        <v>45643</v>
      </c>
      <c r="C51" s="5" t="inlineStr">
        <is>
          <t>South</t>
        </is>
      </c>
      <c r="D51" s="5" t="inlineStr">
        <is>
          <t>Tablet</t>
        </is>
      </c>
      <c r="E51" s="5" t="inlineStr">
        <is>
          <t>Electronics</t>
        </is>
      </c>
      <c r="F51" s="7" t="n">
        <v>13868.64</v>
      </c>
      <c r="G51" s="7" t="n">
        <v>2398.09</v>
      </c>
      <c r="H51" s="5" t="n">
        <v>9</v>
      </c>
    </row>
    <row r="52">
      <c r="A52" s="2" t="inlineStr">
        <is>
          <t>ORD-1051</t>
        </is>
      </c>
      <c r="B52" s="3" t="n">
        <v>45433</v>
      </c>
      <c r="C52" s="2" t="inlineStr">
        <is>
          <t>West</t>
        </is>
      </c>
      <c r="D52" s="2" t="inlineStr">
        <is>
          <t>Laptop</t>
        </is>
      </c>
      <c r="E52" s="2" t="inlineStr">
        <is>
          <t>Electronics</t>
        </is>
      </c>
      <c r="F52" s="4" t="n">
        <v>120.92</v>
      </c>
      <c r="G52" s="4" t="n">
        <v>44.17</v>
      </c>
      <c r="H52" s="2" t="n">
        <v>2</v>
      </c>
    </row>
    <row r="53">
      <c r="A53" s="5" t="inlineStr">
        <is>
          <t>ORD-1052</t>
        </is>
      </c>
      <c r="B53" s="6" t="n">
        <v>45518</v>
      </c>
      <c r="C53" s="5" t="inlineStr">
        <is>
          <t>South</t>
        </is>
      </c>
      <c r="D53" s="5" t="inlineStr">
        <is>
          <t>Stapler</t>
        </is>
      </c>
      <c r="E53" s="5" t="inlineStr">
        <is>
          <t>Office Supplies</t>
        </is>
      </c>
      <c r="F53" s="7" t="n">
        <v>38370.96</v>
      </c>
      <c r="G53" s="7" t="n">
        <v>11033.01</v>
      </c>
      <c r="H53" s="5" t="n">
        <v>18</v>
      </c>
    </row>
    <row r="54">
      <c r="A54" s="2" t="inlineStr">
        <is>
          <t>ORD-1053</t>
        </is>
      </c>
      <c r="B54" s="3" t="n">
        <v>45571</v>
      </c>
      <c r="C54" s="2" t="inlineStr">
        <is>
          <t>South</t>
        </is>
      </c>
      <c r="D54" s="2" t="inlineStr">
        <is>
          <t>Laptop</t>
        </is>
      </c>
      <c r="E54" s="2" t="inlineStr">
        <is>
          <t>Electronics</t>
        </is>
      </c>
      <c r="F54" s="4" t="n">
        <v>5024.12</v>
      </c>
      <c r="G54" s="4" t="n">
        <v>1484.77</v>
      </c>
      <c r="H54" s="2" t="n">
        <v>2</v>
      </c>
    </row>
    <row r="55">
      <c r="A55" s="5" t="inlineStr">
        <is>
          <t>ORD-1054</t>
        </is>
      </c>
      <c r="B55" s="6" t="n">
        <v>45313</v>
      </c>
      <c r="C55" s="5" t="inlineStr">
        <is>
          <t>South</t>
        </is>
      </c>
      <c r="D55" s="5" t="inlineStr">
        <is>
          <t>Monitor</t>
        </is>
      </c>
      <c r="E55" s="5" t="inlineStr">
        <is>
          <t>Electronics</t>
        </is>
      </c>
      <c r="F55" s="7" t="n">
        <v>11257.2</v>
      </c>
      <c r="G55" s="7" t="n">
        <v>4787.04</v>
      </c>
      <c r="H55" s="5" t="n">
        <v>10</v>
      </c>
    </row>
    <row r="56">
      <c r="A56" s="2" t="inlineStr">
        <is>
          <t>ORD-1055</t>
        </is>
      </c>
      <c r="B56" s="3" t="n">
        <v>45641</v>
      </c>
      <c r="C56" s="2" t="inlineStr">
        <is>
          <t>South</t>
        </is>
      </c>
      <c r="D56" s="2" t="inlineStr">
        <is>
          <t>Tablet</t>
        </is>
      </c>
      <c r="E56" s="2" t="inlineStr">
        <is>
          <t>Electronics</t>
        </is>
      </c>
      <c r="F56" s="4" t="n">
        <v>16139.6</v>
      </c>
      <c r="G56" s="4" t="n">
        <v>3403.21</v>
      </c>
      <c r="H56" s="2" t="n">
        <v>8</v>
      </c>
    </row>
    <row r="57">
      <c r="A57" s="5" t="inlineStr">
        <is>
          <t>ORD-1056</t>
        </is>
      </c>
      <c r="B57" s="6" t="n">
        <v>45413</v>
      </c>
      <c r="C57" s="5" t="inlineStr">
        <is>
          <t>South</t>
        </is>
      </c>
      <c r="D57" s="5" t="inlineStr">
        <is>
          <t>Paper Ream</t>
        </is>
      </c>
      <c r="E57" s="5" t="inlineStr">
        <is>
          <t>Office Supplies</t>
        </is>
      </c>
      <c r="F57" s="7" t="n">
        <v>17578.86</v>
      </c>
      <c r="G57" s="7" t="n">
        <v>6679.71</v>
      </c>
      <c r="H57" s="5" t="n">
        <v>6</v>
      </c>
    </row>
    <row r="58">
      <c r="A58" s="2" t="inlineStr">
        <is>
          <t>ORD-1057</t>
        </is>
      </c>
      <c r="B58" s="3" t="n">
        <v>45462</v>
      </c>
      <c r="C58" s="2" t="inlineStr">
        <is>
          <t>South</t>
        </is>
      </c>
      <c r="D58" s="2" t="inlineStr">
        <is>
          <t>Chair</t>
        </is>
      </c>
      <c r="E58" s="2" t="inlineStr">
        <is>
          <t>Furniture</t>
        </is>
      </c>
      <c r="F58" s="4" t="n">
        <v>33832.26</v>
      </c>
      <c r="G58" s="4" t="n">
        <v>13522.88</v>
      </c>
      <c r="H58" s="2" t="n">
        <v>14</v>
      </c>
    </row>
    <row r="59">
      <c r="A59" s="5" t="inlineStr">
        <is>
          <t>ORD-1058</t>
        </is>
      </c>
      <c r="B59" s="6" t="n">
        <v>45651</v>
      </c>
      <c r="C59" s="5" t="inlineStr">
        <is>
          <t>South</t>
        </is>
      </c>
      <c r="D59" s="5" t="inlineStr">
        <is>
          <t>Tablet</t>
        </is>
      </c>
      <c r="E59" s="5" t="inlineStr">
        <is>
          <t>Electronics</t>
        </is>
      </c>
      <c r="F59" s="7" t="n">
        <v>4714</v>
      </c>
      <c r="G59" s="7" t="n">
        <v>444.66</v>
      </c>
      <c r="H59" s="5" t="n">
        <v>4</v>
      </c>
    </row>
    <row r="60">
      <c r="A60" s="2" t="inlineStr">
        <is>
          <t>ORD-1059</t>
        </is>
      </c>
      <c r="B60" s="3" t="n">
        <v>45527</v>
      </c>
      <c r="C60" s="2" t="inlineStr">
        <is>
          <t>South</t>
        </is>
      </c>
      <c r="D60" s="2" t="inlineStr">
        <is>
          <t>Desk</t>
        </is>
      </c>
      <c r="E60" s="2" t="inlineStr">
        <is>
          <t>Furniture</t>
        </is>
      </c>
      <c r="F60" s="4" t="n">
        <v>11403.72</v>
      </c>
      <c r="G60" s="4" t="n">
        <v>4268.16</v>
      </c>
      <c r="H60" s="2" t="n">
        <v>12</v>
      </c>
    </row>
    <row r="61">
      <c r="A61" s="5" t="inlineStr">
        <is>
          <t>ORD-1060</t>
        </is>
      </c>
      <c r="B61" s="6" t="n">
        <v>45629</v>
      </c>
      <c r="C61" s="5" t="inlineStr">
        <is>
          <t>North</t>
        </is>
      </c>
      <c r="D61" s="5" t="inlineStr">
        <is>
          <t>Phone</t>
        </is>
      </c>
      <c r="E61" s="5" t="inlineStr">
        <is>
          <t>Electronics</t>
        </is>
      </c>
      <c r="F61" s="7" t="n">
        <v>8578.290000000001</v>
      </c>
      <c r="G61" s="7" t="n">
        <v>1570.54</v>
      </c>
      <c r="H61" s="5" t="n">
        <v>7</v>
      </c>
    </row>
    <row r="62">
      <c r="A62" s="2" t="inlineStr">
        <is>
          <t>ORD-1061</t>
        </is>
      </c>
      <c r="B62" s="3" t="n">
        <v>45620</v>
      </c>
      <c r="C62" s="2" t="inlineStr">
        <is>
          <t>East</t>
        </is>
      </c>
      <c r="D62" s="2" t="inlineStr">
        <is>
          <t>Tablet</t>
        </is>
      </c>
      <c r="E62" s="2" t="inlineStr">
        <is>
          <t>Electronics</t>
        </is>
      </c>
      <c r="F62" s="4" t="n">
        <v>20893.85</v>
      </c>
      <c r="G62" s="4" t="n">
        <v>9256.51</v>
      </c>
      <c r="H62" s="2" t="n">
        <v>17</v>
      </c>
    </row>
    <row r="63">
      <c r="A63" s="5" t="inlineStr">
        <is>
          <t>ORD-1062</t>
        </is>
      </c>
      <c r="B63" s="6" t="n">
        <v>45351</v>
      </c>
      <c r="C63" s="5" t="inlineStr">
        <is>
          <t>North</t>
        </is>
      </c>
      <c r="D63" s="5" t="inlineStr">
        <is>
          <t>Stapler</t>
        </is>
      </c>
      <c r="E63" s="5" t="inlineStr">
        <is>
          <t>Office Supplies</t>
        </is>
      </c>
      <c r="F63" s="7" t="n">
        <v>5191.02</v>
      </c>
      <c r="G63" s="7" t="n">
        <v>2264</v>
      </c>
      <c r="H63" s="5" t="n">
        <v>9</v>
      </c>
    </row>
    <row r="64">
      <c r="A64" s="2" t="inlineStr">
        <is>
          <t>ORD-1063</t>
        </is>
      </c>
      <c r="B64" s="3" t="n">
        <v>45597</v>
      </c>
      <c r="C64" s="2" t="inlineStr">
        <is>
          <t>North</t>
        </is>
      </c>
      <c r="D64" s="2" t="inlineStr">
        <is>
          <t>Chair</t>
        </is>
      </c>
      <c r="E64" s="2" t="inlineStr">
        <is>
          <t>Furniture</t>
        </is>
      </c>
      <c r="F64" s="4" t="n">
        <v>14976.92</v>
      </c>
      <c r="G64" s="4" t="n">
        <v>5556.11</v>
      </c>
      <c r="H64" s="2" t="n">
        <v>14</v>
      </c>
    </row>
    <row r="65">
      <c r="A65" s="5" t="inlineStr">
        <is>
          <t>ORD-1064</t>
        </is>
      </c>
      <c r="B65" s="6" t="n">
        <v>45489</v>
      </c>
      <c r="C65" s="5" t="inlineStr">
        <is>
          <t>North</t>
        </is>
      </c>
      <c r="D65" s="5" t="inlineStr">
        <is>
          <t>Sofa</t>
        </is>
      </c>
      <c r="E65" s="5" t="inlineStr">
        <is>
          <t>Furniture</t>
        </is>
      </c>
      <c r="F65" s="7" t="n">
        <v>11603.87</v>
      </c>
      <c r="G65" s="7" t="n">
        <v>1118.88</v>
      </c>
      <c r="H65" s="5" t="n">
        <v>19</v>
      </c>
    </row>
    <row r="66">
      <c r="A66" s="2" t="inlineStr">
        <is>
          <t>ORD-1065</t>
        </is>
      </c>
      <c r="B66" s="3" t="n">
        <v>45478</v>
      </c>
      <c r="C66" s="2" t="inlineStr">
        <is>
          <t>South</t>
        </is>
      </c>
      <c r="D66" s="2" t="inlineStr">
        <is>
          <t>Chair</t>
        </is>
      </c>
      <c r="E66" s="2" t="inlineStr">
        <is>
          <t>Furniture</t>
        </is>
      </c>
      <c r="F66" s="4" t="n">
        <v>3589.88</v>
      </c>
      <c r="G66" s="4" t="n">
        <v>1169.47</v>
      </c>
      <c r="H66" s="2" t="n">
        <v>14</v>
      </c>
    </row>
    <row r="67">
      <c r="A67" s="5" t="inlineStr">
        <is>
          <t>ORD-1066</t>
        </is>
      </c>
      <c r="B67" s="6" t="n">
        <v>45631</v>
      </c>
      <c r="C67" s="5" t="inlineStr">
        <is>
          <t>East</t>
        </is>
      </c>
      <c r="D67" s="5" t="inlineStr">
        <is>
          <t>Sofa</t>
        </is>
      </c>
      <c r="E67" s="5" t="inlineStr">
        <is>
          <t>Furniture</t>
        </is>
      </c>
      <c r="F67" s="7" t="n">
        <v>8693.120000000001</v>
      </c>
      <c r="G67" s="7" t="n">
        <v>1661.42</v>
      </c>
      <c r="H67" s="5" t="n">
        <v>4</v>
      </c>
    </row>
    <row r="68">
      <c r="A68" s="2" t="inlineStr">
        <is>
          <t>ORD-1067</t>
        </is>
      </c>
      <c r="B68" s="3" t="n">
        <v>45498</v>
      </c>
      <c r="C68" s="2" t="inlineStr">
        <is>
          <t>East</t>
        </is>
      </c>
      <c r="D68" s="2" t="inlineStr">
        <is>
          <t>Cabinet</t>
        </is>
      </c>
      <c r="E68" s="2" t="inlineStr">
        <is>
          <t>Furniture</t>
        </is>
      </c>
      <c r="F68" s="4" t="n">
        <v>16855.2</v>
      </c>
      <c r="G68" s="4" t="n">
        <v>2544.81</v>
      </c>
      <c r="H68" s="2" t="n">
        <v>10</v>
      </c>
    </row>
    <row r="69">
      <c r="A69" s="5" t="inlineStr">
        <is>
          <t>ORD-1068</t>
        </is>
      </c>
      <c r="B69" s="6" t="n">
        <v>45607</v>
      </c>
      <c r="C69" s="5" t="inlineStr">
        <is>
          <t>South</t>
        </is>
      </c>
      <c r="D69" s="5" t="inlineStr">
        <is>
          <t>Paper Ream</t>
        </is>
      </c>
      <c r="E69" s="5" t="inlineStr">
        <is>
          <t>Office Supplies</t>
        </is>
      </c>
      <c r="F69" s="7" t="n">
        <v>17818.2</v>
      </c>
      <c r="G69" s="7" t="n">
        <v>5037.86</v>
      </c>
      <c r="H69" s="5" t="n">
        <v>19</v>
      </c>
    </row>
    <row r="70">
      <c r="A70" s="2" t="inlineStr">
        <is>
          <t>ORD-1069</t>
        </is>
      </c>
      <c r="B70" s="3" t="n">
        <v>45399</v>
      </c>
      <c r="C70" s="2" t="inlineStr">
        <is>
          <t>East</t>
        </is>
      </c>
      <c r="D70" s="2" t="inlineStr">
        <is>
          <t>Tablet</t>
        </is>
      </c>
      <c r="E70" s="2" t="inlineStr">
        <is>
          <t>Electronics</t>
        </is>
      </c>
      <c r="F70" s="4" t="n">
        <v>33151.86</v>
      </c>
      <c r="G70" s="4" t="n">
        <v>10093.57</v>
      </c>
      <c r="H70" s="2" t="n">
        <v>14</v>
      </c>
    </row>
    <row r="71">
      <c r="A71" s="5" t="inlineStr">
        <is>
          <t>ORD-1070</t>
        </is>
      </c>
      <c r="B71" s="6" t="n">
        <v>45518</v>
      </c>
      <c r="C71" s="5" t="inlineStr">
        <is>
          <t>West</t>
        </is>
      </c>
      <c r="D71" s="5" t="inlineStr">
        <is>
          <t>Cabinet</t>
        </is>
      </c>
      <c r="E71" s="5" t="inlineStr">
        <is>
          <t>Furniture</t>
        </is>
      </c>
      <c r="F71" s="7" t="n">
        <v>10905.72</v>
      </c>
      <c r="G71" s="7" t="n">
        <v>4075.27</v>
      </c>
      <c r="H71" s="5" t="n">
        <v>7</v>
      </c>
    </row>
    <row r="72">
      <c r="A72" s="2" t="inlineStr">
        <is>
          <t>ORD-1071</t>
        </is>
      </c>
      <c r="B72" s="3" t="n">
        <v>45437</v>
      </c>
      <c r="C72" s="2" t="inlineStr">
        <is>
          <t>North</t>
        </is>
      </c>
      <c r="D72" s="2" t="inlineStr">
        <is>
          <t>Notebook</t>
        </is>
      </c>
      <c r="E72" s="2" t="inlineStr">
        <is>
          <t>Office Supplies</t>
        </is>
      </c>
      <c r="F72" s="4" t="n">
        <v>34142.29</v>
      </c>
      <c r="G72" s="4" t="n">
        <v>10554.29</v>
      </c>
      <c r="H72" s="2" t="n">
        <v>17</v>
      </c>
    </row>
    <row r="73">
      <c r="A73" s="5" t="inlineStr">
        <is>
          <t>ORD-1072</t>
        </is>
      </c>
      <c r="B73" s="6" t="n">
        <v>45407</v>
      </c>
      <c r="C73" s="5" t="inlineStr">
        <is>
          <t>East</t>
        </is>
      </c>
      <c r="D73" s="5" t="inlineStr">
        <is>
          <t>Phone</t>
        </is>
      </c>
      <c r="E73" s="5" t="inlineStr">
        <is>
          <t>Electronics</t>
        </is>
      </c>
      <c r="F73" s="7" t="n">
        <v>3392.83</v>
      </c>
      <c r="G73" s="7" t="n">
        <v>329.44</v>
      </c>
      <c r="H73" s="5" t="n">
        <v>7</v>
      </c>
    </row>
    <row r="74">
      <c r="A74" s="2" t="inlineStr">
        <is>
          <t>ORD-1073</t>
        </is>
      </c>
      <c r="B74" s="3" t="n">
        <v>45525</v>
      </c>
      <c r="C74" s="2" t="inlineStr">
        <is>
          <t>North</t>
        </is>
      </c>
      <c r="D74" s="2" t="inlineStr">
        <is>
          <t>Sofa</t>
        </is>
      </c>
      <c r="E74" s="2" t="inlineStr">
        <is>
          <t>Furniture</t>
        </is>
      </c>
      <c r="F74" s="4" t="n">
        <v>37297.4</v>
      </c>
      <c r="G74" s="4" t="n">
        <v>10928.07</v>
      </c>
      <c r="H74" s="2" t="n">
        <v>14</v>
      </c>
    </row>
    <row r="75">
      <c r="A75" s="5" t="inlineStr">
        <is>
          <t>ORD-1074</t>
        </is>
      </c>
      <c r="B75" s="6" t="n">
        <v>45496</v>
      </c>
      <c r="C75" s="5" t="inlineStr">
        <is>
          <t>West</t>
        </is>
      </c>
      <c r="D75" s="5" t="inlineStr">
        <is>
          <t>Paper Ream</t>
        </is>
      </c>
      <c r="E75" s="5" t="inlineStr">
        <is>
          <t>Office Supplies</t>
        </is>
      </c>
      <c r="F75" s="7" t="n">
        <v>3882.72</v>
      </c>
      <c r="G75" s="7" t="n">
        <v>1298.46</v>
      </c>
      <c r="H75" s="5" t="n">
        <v>8</v>
      </c>
    </row>
    <row r="76">
      <c r="A76" s="2" t="inlineStr">
        <is>
          <t>ORD-1075</t>
        </is>
      </c>
      <c r="B76" s="3" t="n">
        <v>45382</v>
      </c>
      <c r="C76" s="2" t="inlineStr">
        <is>
          <t>South</t>
        </is>
      </c>
      <c r="D76" s="2" t="inlineStr">
        <is>
          <t>Monitor</t>
        </is>
      </c>
      <c r="E76" s="2" t="inlineStr">
        <is>
          <t>Electronics</t>
        </is>
      </c>
      <c r="F76" s="4" t="n">
        <v>24147.14</v>
      </c>
      <c r="G76" s="4" t="n">
        <v>6911.88</v>
      </c>
      <c r="H76" s="2" t="n">
        <v>17</v>
      </c>
    </row>
    <row r="77">
      <c r="A77" s="5" t="inlineStr">
        <is>
          <t>ORD-1076</t>
        </is>
      </c>
      <c r="B77" s="6" t="n">
        <v>45529</v>
      </c>
      <c r="C77" s="5" t="inlineStr">
        <is>
          <t>South</t>
        </is>
      </c>
      <c r="D77" s="5" t="inlineStr">
        <is>
          <t>Monitor</t>
        </is>
      </c>
      <c r="E77" s="5" t="inlineStr">
        <is>
          <t>Electronics</t>
        </is>
      </c>
      <c r="F77" s="7" t="n">
        <v>50392.76</v>
      </c>
      <c r="G77" s="7" t="n">
        <v>15133.82</v>
      </c>
      <c r="H77" s="5" t="n">
        <v>17</v>
      </c>
    </row>
    <row r="78">
      <c r="A78" s="2" t="inlineStr">
        <is>
          <t>ORD-1077</t>
        </is>
      </c>
      <c r="B78" s="3" t="n">
        <v>45572</v>
      </c>
      <c r="C78" s="2" t="inlineStr">
        <is>
          <t>West</t>
        </is>
      </c>
      <c r="D78" s="2" t="inlineStr">
        <is>
          <t>Sofa</t>
        </is>
      </c>
      <c r="E78" s="2" t="inlineStr">
        <is>
          <t>Furniture</t>
        </is>
      </c>
      <c r="F78" s="4" t="n">
        <v>40451.4</v>
      </c>
      <c r="G78" s="4" t="n">
        <v>14366.42</v>
      </c>
      <c r="H78" s="2" t="n">
        <v>15</v>
      </c>
    </row>
    <row r="79">
      <c r="A79" s="5" t="inlineStr">
        <is>
          <t>ORD-1078</t>
        </is>
      </c>
      <c r="B79" s="6" t="n">
        <v>45418</v>
      </c>
      <c r="C79" s="5" t="inlineStr">
        <is>
          <t>East</t>
        </is>
      </c>
      <c r="D79" s="5" t="inlineStr">
        <is>
          <t>Cabinet</t>
        </is>
      </c>
      <c r="E79" s="5" t="inlineStr">
        <is>
          <t>Furniture</t>
        </is>
      </c>
      <c r="F79" s="7" t="n">
        <v>20782.35</v>
      </c>
      <c r="G79" s="7" t="n">
        <v>5671.11</v>
      </c>
      <c r="H79" s="5" t="n">
        <v>9</v>
      </c>
    </row>
    <row r="80">
      <c r="A80" s="2" t="inlineStr">
        <is>
          <t>ORD-1079</t>
        </is>
      </c>
      <c r="B80" s="3" t="n">
        <v>45517</v>
      </c>
      <c r="C80" s="2" t="inlineStr">
        <is>
          <t>East</t>
        </is>
      </c>
      <c r="D80" s="2" t="inlineStr">
        <is>
          <t>Notebook</t>
        </is>
      </c>
      <c r="E80" s="2" t="inlineStr">
        <is>
          <t>Office Supplies</t>
        </is>
      </c>
      <c r="F80" s="4" t="n">
        <v>6464.88</v>
      </c>
      <c r="G80" s="4" t="n">
        <v>1078.1</v>
      </c>
      <c r="H80" s="2" t="n">
        <v>3</v>
      </c>
    </row>
    <row r="81">
      <c r="A81" s="5" t="inlineStr">
        <is>
          <t>ORD-1080</t>
        </is>
      </c>
      <c r="B81" s="6" t="n">
        <v>45362</v>
      </c>
      <c r="C81" s="5" t="inlineStr">
        <is>
          <t>North</t>
        </is>
      </c>
      <c r="D81" s="5" t="inlineStr">
        <is>
          <t>Bookshelf</t>
        </is>
      </c>
      <c r="E81" s="5" t="inlineStr">
        <is>
          <t>Furniture</t>
        </is>
      </c>
      <c r="F81" s="7" t="n">
        <v>3661.1</v>
      </c>
      <c r="G81" s="7" t="n">
        <v>1232.92</v>
      </c>
      <c r="H81" s="5" t="n">
        <v>5</v>
      </c>
    </row>
    <row r="82">
      <c r="A82" s="2" t="inlineStr">
        <is>
          <t>ORD-1081</t>
        </is>
      </c>
      <c r="B82" s="3" t="n">
        <v>45504</v>
      </c>
      <c r="C82" s="2" t="inlineStr">
        <is>
          <t>North</t>
        </is>
      </c>
      <c r="D82" s="2" t="inlineStr">
        <is>
          <t>Notebook</t>
        </is>
      </c>
      <c r="E82" s="2" t="inlineStr">
        <is>
          <t>Office Supplies</t>
        </is>
      </c>
      <c r="F82" s="4" t="n">
        <v>14365.4</v>
      </c>
      <c r="G82" s="4" t="n">
        <v>3625.71</v>
      </c>
      <c r="H82" s="2" t="n">
        <v>14</v>
      </c>
    </row>
    <row r="83">
      <c r="A83" s="5" t="inlineStr">
        <is>
          <t>ORD-1082</t>
        </is>
      </c>
      <c r="B83" s="6" t="n">
        <v>45491</v>
      </c>
      <c r="C83" s="5" t="inlineStr">
        <is>
          <t>West</t>
        </is>
      </c>
      <c r="D83" s="5" t="inlineStr">
        <is>
          <t>Phone</t>
        </is>
      </c>
      <c r="E83" s="5" t="inlineStr">
        <is>
          <t>Electronics</t>
        </is>
      </c>
      <c r="F83" s="7" t="n">
        <v>53976.72</v>
      </c>
      <c r="G83" s="7" t="n">
        <v>4708.22</v>
      </c>
      <c r="H83" s="5" t="n">
        <v>19</v>
      </c>
    </row>
    <row r="84">
      <c r="A84" s="2" t="inlineStr">
        <is>
          <t>ORD-1083</t>
        </is>
      </c>
      <c r="B84" s="3" t="n">
        <v>45295</v>
      </c>
      <c r="C84" s="2" t="inlineStr">
        <is>
          <t>West</t>
        </is>
      </c>
      <c r="D84" s="2" t="inlineStr">
        <is>
          <t>Paper Ream</t>
        </is>
      </c>
      <c r="E84" s="2" t="inlineStr">
        <is>
          <t>Office Supplies</t>
        </is>
      </c>
      <c r="F84" s="4" t="n">
        <v>11170.92</v>
      </c>
      <c r="G84" s="4" t="n">
        <v>2505.58</v>
      </c>
      <c r="H84" s="2" t="n">
        <v>12</v>
      </c>
    </row>
    <row r="85">
      <c r="A85" s="5" t="inlineStr">
        <is>
          <t>ORD-1084</t>
        </is>
      </c>
      <c r="B85" s="6" t="n">
        <v>45541</v>
      </c>
      <c r="C85" s="5" t="inlineStr">
        <is>
          <t>South</t>
        </is>
      </c>
      <c r="D85" s="5" t="inlineStr">
        <is>
          <t>Sofa</t>
        </is>
      </c>
      <c r="E85" s="5" t="inlineStr">
        <is>
          <t>Furniture</t>
        </is>
      </c>
      <c r="F85" s="7" t="n">
        <v>6841.28</v>
      </c>
      <c r="G85" s="7" t="n">
        <v>1776.6</v>
      </c>
      <c r="H85" s="5" t="n">
        <v>8</v>
      </c>
    </row>
    <row r="86">
      <c r="A86" s="2" t="inlineStr">
        <is>
          <t>ORD-1085</t>
        </is>
      </c>
      <c r="B86" s="3" t="n">
        <v>45376</v>
      </c>
      <c r="C86" s="2" t="inlineStr">
        <is>
          <t>West</t>
        </is>
      </c>
      <c r="D86" s="2" t="inlineStr">
        <is>
          <t>Bookshelf</t>
        </is>
      </c>
      <c r="E86" s="2" t="inlineStr">
        <is>
          <t>Furniture</t>
        </is>
      </c>
      <c r="F86" s="4" t="n">
        <v>41439.75</v>
      </c>
      <c r="G86" s="4" t="n">
        <v>18352.3</v>
      </c>
      <c r="H86" s="2" t="n">
        <v>15</v>
      </c>
    </row>
    <row r="87">
      <c r="A87" s="5" t="inlineStr">
        <is>
          <t>ORD-1086</t>
        </is>
      </c>
      <c r="B87" s="6" t="n">
        <v>45595</v>
      </c>
      <c r="C87" s="5" t="inlineStr">
        <is>
          <t>West</t>
        </is>
      </c>
      <c r="D87" s="5" t="inlineStr">
        <is>
          <t>Pen Set</t>
        </is>
      </c>
      <c r="E87" s="5" t="inlineStr">
        <is>
          <t>Office Supplies</t>
        </is>
      </c>
      <c r="F87" s="7" t="n">
        <v>38111.15</v>
      </c>
      <c r="G87" s="7" t="n">
        <v>4232.65</v>
      </c>
      <c r="H87" s="5" t="n">
        <v>19</v>
      </c>
    </row>
    <row r="88">
      <c r="A88" s="2" t="inlineStr">
        <is>
          <t>ORD-1087</t>
        </is>
      </c>
      <c r="B88" s="3" t="n">
        <v>45385</v>
      </c>
      <c r="C88" s="2" t="inlineStr">
        <is>
          <t>West</t>
        </is>
      </c>
      <c r="D88" s="2" t="inlineStr">
        <is>
          <t>Desk</t>
        </is>
      </c>
      <c r="E88" s="2" t="inlineStr">
        <is>
          <t>Furniture</t>
        </is>
      </c>
      <c r="F88" s="4" t="n">
        <v>1634.92</v>
      </c>
      <c r="G88" s="4" t="n">
        <v>328.82</v>
      </c>
      <c r="H88" s="2" t="n">
        <v>2</v>
      </c>
    </row>
    <row r="89">
      <c r="A89" s="5" t="inlineStr">
        <is>
          <t>ORD-1088</t>
        </is>
      </c>
      <c r="B89" s="6" t="n">
        <v>45486</v>
      </c>
      <c r="C89" s="5" t="inlineStr">
        <is>
          <t>East</t>
        </is>
      </c>
      <c r="D89" s="5" t="inlineStr">
        <is>
          <t>Bookshelf</t>
        </is>
      </c>
      <c r="E89" s="5" t="inlineStr">
        <is>
          <t>Furniture</t>
        </is>
      </c>
      <c r="F89" s="7" t="n">
        <v>20415.87</v>
      </c>
      <c r="G89" s="7" t="n">
        <v>7917.52</v>
      </c>
      <c r="H89" s="5" t="n">
        <v>9</v>
      </c>
    </row>
    <row r="90">
      <c r="A90" s="2" t="inlineStr">
        <is>
          <t>ORD-1089</t>
        </is>
      </c>
      <c r="B90" s="3" t="n">
        <v>45301</v>
      </c>
      <c r="C90" s="2" t="inlineStr">
        <is>
          <t>West</t>
        </is>
      </c>
      <c r="D90" s="2" t="inlineStr">
        <is>
          <t>Chair</t>
        </is>
      </c>
      <c r="E90" s="2" t="inlineStr">
        <is>
          <t>Furniture</t>
        </is>
      </c>
      <c r="F90" s="4" t="n">
        <v>3665.7</v>
      </c>
      <c r="G90" s="4" t="n">
        <v>1584.35</v>
      </c>
      <c r="H90" s="2" t="n">
        <v>18</v>
      </c>
    </row>
    <row r="91">
      <c r="A91" s="5" t="inlineStr">
        <is>
          <t>ORD-1090</t>
        </is>
      </c>
      <c r="B91" s="6" t="n">
        <v>45307</v>
      </c>
      <c r="C91" s="5" t="inlineStr">
        <is>
          <t>North</t>
        </is>
      </c>
      <c r="D91" s="5" t="inlineStr">
        <is>
          <t>Laptop</t>
        </is>
      </c>
      <c r="E91" s="5" t="inlineStr">
        <is>
          <t>Electronics</t>
        </is>
      </c>
      <c r="F91" s="7" t="n">
        <v>5104.88</v>
      </c>
      <c r="G91" s="7" t="n">
        <v>446.88</v>
      </c>
      <c r="H91" s="5" t="n">
        <v>8</v>
      </c>
    </row>
    <row r="92">
      <c r="A92" s="2" t="inlineStr">
        <is>
          <t>ORD-1091</t>
        </is>
      </c>
      <c r="B92" s="3" t="n">
        <v>45534</v>
      </c>
      <c r="C92" s="2" t="inlineStr">
        <is>
          <t>South</t>
        </is>
      </c>
      <c r="D92" s="2" t="inlineStr">
        <is>
          <t>Phone</t>
        </is>
      </c>
      <c r="E92" s="2" t="inlineStr">
        <is>
          <t>Electronics</t>
        </is>
      </c>
      <c r="F92" s="4" t="n">
        <v>6854.84</v>
      </c>
      <c r="G92" s="4" t="n">
        <v>1101.21</v>
      </c>
      <c r="H92" s="2" t="n">
        <v>4</v>
      </c>
    </row>
    <row r="93">
      <c r="A93" s="5" t="inlineStr">
        <is>
          <t>ORD-1092</t>
        </is>
      </c>
      <c r="B93" s="6" t="n">
        <v>45377</v>
      </c>
      <c r="C93" s="5" t="inlineStr">
        <is>
          <t>East</t>
        </is>
      </c>
      <c r="D93" s="5" t="inlineStr">
        <is>
          <t>Stapler</t>
        </is>
      </c>
      <c r="E93" s="5" t="inlineStr">
        <is>
          <t>Office Supplies</t>
        </is>
      </c>
      <c r="F93" s="7" t="n">
        <v>36827.6</v>
      </c>
      <c r="G93" s="7" t="n">
        <v>13137.6</v>
      </c>
      <c r="H93" s="5" t="n">
        <v>20</v>
      </c>
    </row>
    <row r="94">
      <c r="A94" s="2" t="inlineStr">
        <is>
          <t>ORD-1093</t>
        </is>
      </c>
      <c r="B94" s="3" t="n">
        <v>45347</v>
      </c>
      <c r="C94" s="2" t="inlineStr">
        <is>
          <t>East</t>
        </is>
      </c>
      <c r="D94" s="2" t="inlineStr">
        <is>
          <t>Phone</t>
        </is>
      </c>
      <c r="E94" s="2" t="inlineStr">
        <is>
          <t>Electronics</t>
        </is>
      </c>
      <c r="F94" s="4" t="n">
        <v>2389.25</v>
      </c>
      <c r="G94" s="4" t="n">
        <v>466.92</v>
      </c>
      <c r="H94" s="2" t="n">
        <v>19</v>
      </c>
    </row>
    <row r="95">
      <c r="A95" s="5" t="inlineStr">
        <is>
          <t>ORD-1094</t>
        </is>
      </c>
      <c r="B95" s="6" t="n">
        <v>45393</v>
      </c>
      <c r="C95" s="5" t="inlineStr">
        <is>
          <t>West</t>
        </is>
      </c>
      <c r="D95" s="5" t="inlineStr">
        <is>
          <t>Paper Ream</t>
        </is>
      </c>
      <c r="E95" s="5" t="inlineStr">
        <is>
          <t>Office Supplies</t>
        </is>
      </c>
      <c r="F95" s="7" t="n">
        <v>5390.07</v>
      </c>
      <c r="G95" s="7" t="n">
        <v>2087.64</v>
      </c>
      <c r="H95" s="5" t="n">
        <v>3</v>
      </c>
    </row>
    <row r="96">
      <c r="A96" s="2" t="inlineStr">
        <is>
          <t>ORD-1095</t>
        </is>
      </c>
      <c r="B96" s="3" t="n">
        <v>45642</v>
      </c>
      <c r="C96" s="2" t="inlineStr">
        <is>
          <t>East</t>
        </is>
      </c>
      <c r="D96" s="2" t="inlineStr">
        <is>
          <t>Laptop</t>
        </is>
      </c>
      <c r="E96" s="2" t="inlineStr">
        <is>
          <t>Electronics</t>
        </is>
      </c>
      <c r="F96" s="4" t="n">
        <v>48526.2</v>
      </c>
      <c r="G96" s="4" t="n">
        <v>18178.11</v>
      </c>
      <c r="H96" s="2" t="n">
        <v>20</v>
      </c>
    </row>
    <row r="97">
      <c r="A97" s="5" t="inlineStr">
        <is>
          <t>ORD-1096</t>
        </is>
      </c>
      <c r="B97" s="6" t="n">
        <v>45564</v>
      </c>
      <c r="C97" s="5" t="inlineStr">
        <is>
          <t>East</t>
        </is>
      </c>
      <c r="D97" s="5" t="inlineStr">
        <is>
          <t>Pen Set</t>
        </is>
      </c>
      <c r="E97" s="5" t="inlineStr">
        <is>
          <t>Office Supplies</t>
        </is>
      </c>
      <c r="F97" s="7" t="n">
        <v>28020.86</v>
      </c>
      <c r="G97" s="7" t="n">
        <v>2956.59</v>
      </c>
      <c r="H97" s="5" t="n">
        <v>14</v>
      </c>
    </row>
    <row r="98">
      <c r="A98" s="2" t="inlineStr">
        <is>
          <t>ORD-1097</t>
        </is>
      </c>
      <c r="B98" s="3" t="n">
        <v>45507</v>
      </c>
      <c r="C98" s="2" t="inlineStr">
        <is>
          <t>North</t>
        </is>
      </c>
      <c r="D98" s="2" t="inlineStr">
        <is>
          <t>Stapler</t>
        </is>
      </c>
      <c r="E98" s="2" t="inlineStr">
        <is>
          <t>Office Supplies</t>
        </is>
      </c>
      <c r="F98" s="4" t="n">
        <v>5781.44</v>
      </c>
      <c r="G98" s="4" t="n">
        <v>2517.77</v>
      </c>
      <c r="H98" s="2" t="n">
        <v>16</v>
      </c>
    </row>
    <row r="99">
      <c r="A99" s="5" t="inlineStr">
        <is>
          <t>ORD-1098</t>
        </is>
      </c>
      <c r="B99" s="6" t="n">
        <v>45514</v>
      </c>
      <c r="C99" s="5" t="inlineStr">
        <is>
          <t>South</t>
        </is>
      </c>
      <c r="D99" s="5" t="inlineStr">
        <is>
          <t>Paper Ream</t>
        </is>
      </c>
      <c r="E99" s="5" t="inlineStr">
        <is>
          <t>Office Supplies</t>
        </is>
      </c>
      <c r="F99" s="7" t="n">
        <v>13288.2</v>
      </c>
      <c r="G99" s="7" t="n">
        <v>5809.94</v>
      </c>
      <c r="H99" s="5" t="n">
        <v>6</v>
      </c>
    </row>
    <row r="100">
      <c r="A100" s="2" t="inlineStr">
        <is>
          <t>ORD-1099</t>
        </is>
      </c>
      <c r="B100" s="3" t="n">
        <v>45530</v>
      </c>
      <c r="C100" s="2" t="inlineStr">
        <is>
          <t>West</t>
        </is>
      </c>
      <c r="D100" s="2" t="inlineStr">
        <is>
          <t>Sofa</t>
        </is>
      </c>
      <c r="E100" s="2" t="inlineStr">
        <is>
          <t>Furniture</t>
        </is>
      </c>
      <c r="F100" s="4" t="n">
        <v>34802.88</v>
      </c>
      <c r="G100" s="4" t="n">
        <v>10413.56</v>
      </c>
      <c r="H100" s="2" t="n">
        <v>14</v>
      </c>
    </row>
    <row r="101">
      <c r="A101" s="5" t="inlineStr">
        <is>
          <t>ORD-1100</t>
        </is>
      </c>
      <c r="B101" s="6" t="n">
        <v>45434</v>
      </c>
      <c r="C101" s="5" t="inlineStr">
        <is>
          <t>North</t>
        </is>
      </c>
      <c r="D101" s="5" t="inlineStr">
        <is>
          <t>Desk</t>
        </is>
      </c>
      <c r="E101" s="5" t="inlineStr">
        <is>
          <t>Furniture</t>
        </is>
      </c>
      <c r="F101" s="7" t="n">
        <v>11541</v>
      </c>
      <c r="G101" s="7" t="n">
        <v>2907.66</v>
      </c>
      <c r="H101" s="5" t="n">
        <v>15</v>
      </c>
    </row>
    <row r="102">
      <c r="A102" s="2" t="inlineStr">
        <is>
          <t>ORD-1101</t>
        </is>
      </c>
      <c r="B102" s="3" t="n">
        <v>45306</v>
      </c>
      <c r="C102" s="2" t="inlineStr">
        <is>
          <t>East</t>
        </is>
      </c>
      <c r="D102" s="2" t="inlineStr">
        <is>
          <t>Paper Ream</t>
        </is>
      </c>
      <c r="E102" s="2" t="inlineStr">
        <is>
          <t>Office Supplies</t>
        </is>
      </c>
      <c r="F102" s="4" t="n">
        <v>40964.96</v>
      </c>
      <c r="G102" s="4" t="n">
        <v>6033.35</v>
      </c>
      <c r="H102" s="2" t="n">
        <v>16</v>
      </c>
    </row>
    <row r="103">
      <c r="A103" s="5" t="inlineStr">
        <is>
          <t>ORD-1102</t>
        </is>
      </c>
      <c r="B103" s="6" t="n">
        <v>45466</v>
      </c>
      <c r="C103" s="5" t="inlineStr">
        <is>
          <t>East</t>
        </is>
      </c>
      <c r="D103" s="5" t="inlineStr">
        <is>
          <t>Tablet</t>
        </is>
      </c>
      <c r="E103" s="5" t="inlineStr">
        <is>
          <t>Electronics</t>
        </is>
      </c>
      <c r="F103" s="7" t="n">
        <v>23822.46</v>
      </c>
      <c r="G103" s="7" t="n">
        <v>8086.25</v>
      </c>
      <c r="H103" s="5" t="n">
        <v>9</v>
      </c>
    </row>
    <row r="104">
      <c r="A104" s="2" t="inlineStr">
        <is>
          <t>ORD-1103</t>
        </is>
      </c>
      <c r="B104" s="3" t="n">
        <v>45556</v>
      </c>
      <c r="C104" s="2" t="inlineStr">
        <is>
          <t>North</t>
        </is>
      </c>
      <c r="D104" s="2" t="inlineStr">
        <is>
          <t>Sofa</t>
        </is>
      </c>
      <c r="E104" s="2" t="inlineStr">
        <is>
          <t>Furniture</t>
        </is>
      </c>
      <c r="F104" s="4" t="n">
        <v>2117.92</v>
      </c>
      <c r="G104" s="4" t="n">
        <v>733.71</v>
      </c>
      <c r="H104" s="2" t="n">
        <v>7</v>
      </c>
    </row>
    <row r="105">
      <c r="A105" s="5" t="inlineStr">
        <is>
          <t>ORD-1104</t>
        </is>
      </c>
      <c r="B105" s="6" t="n">
        <v>45645</v>
      </c>
      <c r="C105" s="5" t="inlineStr">
        <is>
          <t>South</t>
        </is>
      </c>
      <c r="D105" s="5" t="inlineStr">
        <is>
          <t>Sofa</t>
        </is>
      </c>
      <c r="E105" s="5" t="inlineStr">
        <is>
          <t>Furniture</t>
        </is>
      </c>
      <c r="F105" s="7" t="n">
        <v>31286.56</v>
      </c>
      <c r="G105" s="7" t="n">
        <v>8184.69</v>
      </c>
      <c r="H105" s="5" t="n">
        <v>16</v>
      </c>
    </row>
    <row r="106">
      <c r="A106" s="2" t="inlineStr">
        <is>
          <t>ORD-1105</t>
        </is>
      </c>
      <c r="B106" s="3" t="n">
        <v>45405</v>
      </c>
      <c r="C106" s="2" t="inlineStr">
        <is>
          <t>East</t>
        </is>
      </c>
      <c r="D106" s="2" t="inlineStr">
        <is>
          <t>Laptop</t>
        </is>
      </c>
      <c r="E106" s="2" t="inlineStr">
        <is>
          <t>Electronics</t>
        </is>
      </c>
      <c r="F106" s="4" t="n">
        <v>27180.01</v>
      </c>
      <c r="G106" s="4" t="n">
        <v>5253.79</v>
      </c>
      <c r="H106" s="2" t="n">
        <v>13</v>
      </c>
    </row>
    <row r="107">
      <c r="A107" s="5" t="inlineStr">
        <is>
          <t>ORD-1106</t>
        </is>
      </c>
      <c r="B107" s="6" t="n">
        <v>45575</v>
      </c>
      <c r="C107" s="5" t="inlineStr">
        <is>
          <t>West</t>
        </is>
      </c>
      <c r="D107" s="5" t="inlineStr">
        <is>
          <t>Stapler</t>
        </is>
      </c>
      <c r="E107" s="5" t="inlineStr">
        <is>
          <t>Office Supplies</t>
        </is>
      </c>
      <c r="F107" s="7" t="n">
        <v>18089.36</v>
      </c>
      <c r="G107" s="7" t="n">
        <v>8117.67</v>
      </c>
      <c r="H107" s="5" t="n">
        <v>17</v>
      </c>
    </row>
    <row r="108">
      <c r="A108" s="2" t="inlineStr">
        <is>
          <t>ORD-1107</t>
        </is>
      </c>
      <c r="B108" s="3" t="n">
        <v>45651</v>
      </c>
      <c r="C108" s="2" t="inlineStr">
        <is>
          <t>East</t>
        </is>
      </c>
      <c r="D108" s="2" t="inlineStr">
        <is>
          <t>Stapler</t>
        </is>
      </c>
      <c r="E108" s="2" t="inlineStr">
        <is>
          <t>Office Supplies</t>
        </is>
      </c>
      <c r="F108" s="4" t="n">
        <v>12738</v>
      </c>
      <c r="G108" s="4" t="n">
        <v>2203.92</v>
      </c>
      <c r="H108" s="2" t="n">
        <v>15</v>
      </c>
    </row>
    <row r="109">
      <c r="A109" s="5" t="inlineStr">
        <is>
          <t>ORD-1108</t>
        </is>
      </c>
      <c r="B109" s="6" t="n">
        <v>45353</v>
      </c>
      <c r="C109" s="5" t="inlineStr">
        <is>
          <t>East</t>
        </is>
      </c>
      <c r="D109" s="5" t="inlineStr">
        <is>
          <t>Phone</t>
        </is>
      </c>
      <c r="E109" s="5" t="inlineStr">
        <is>
          <t>Electronics</t>
        </is>
      </c>
      <c r="F109" s="7" t="n">
        <v>51391.62</v>
      </c>
      <c r="G109" s="7" t="n">
        <v>17234.72</v>
      </c>
      <c r="H109" s="5" t="n">
        <v>18</v>
      </c>
    </row>
    <row r="110">
      <c r="A110" s="2" t="inlineStr">
        <is>
          <t>ORD-1109</t>
        </is>
      </c>
      <c r="B110" s="3" t="n">
        <v>45433</v>
      </c>
      <c r="C110" s="2" t="inlineStr">
        <is>
          <t>West</t>
        </is>
      </c>
      <c r="D110" s="2" t="inlineStr">
        <is>
          <t>Phone</t>
        </is>
      </c>
      <c r="E110" s="2" t="inlineStr">
        <is>
          <t>Electronics</t>
        </is>
      </c>
      <c r="F110" s="4" t="n">
        <v>55688.81</v>
      </c>
      <c r="G110" s="4" t="n">
        <v>15265.17</v>
      </c>
      <c r="H110" s="2" t="n">
        <v>19</v>
      </c>
    </row>
    <row r="111">
      <c r="A111" s="5" t="inlineStr">
        <is>
          <t>ORD-1110</t>
        </is>
      </c>
      <c r="B111" s="6" t="n">
        <v>45443</v>
      </c>
      <c r="C111" s="5" t="inlineStr">
        <is>
          <t>South</t>
        </is>
      </c>
      <c r="D111" s="5" t="inlineStr">
        <is>
          <t>Chair</t>
        </is>
      </c>
      <c r="E111" s="5" t="inlineStr">
        <is>
          <t>Furniture</t>
        </is>
      </c>
      <c r="F111" s="7" t="n">
        <v>8916.799999999999</v>
      </c>
      <c r="G111" s="7" t="n">
        <v>1710.59</v>
      </c>
      <c r="H111" s="5" t="n">
        <v>8</v>
      </c>
    </row>
    <row r="112">
      <c r="A112" s="2" t="inlineStr">
        <is>
          <t>ORD-1111</t>
        </is>
      </c>
      <c r="B112" s="3" t="n">
        <v>45432</v>
      </c>
      <c r="C112" s="2" t="inlineStr">
        <is>
          <t>South</t>
        </is>
      </c>
      <c r="D112" s="2" t="inlineStr">
        <is>
          <t>Markers</t>
        </is>
      </c>
      <c r="E112" s="2" t="inlineStr">
        <is>
          <t>Office Supplies</t>
        </is>
      </c>
      <c r="F112" s="4" t="n">
        <v>5848.34</v>
      </c>
      <c r="G112" s="4" t="n">
        <v>1665.27</v>
      </c>
      <c r="H112" s="2" t="n">
        <v>2</v>
      </c>
    </row>
    <row r="113">
      <c r="A113" s="5" t="inlineStr">
        <is>
          <t>ORD-1112</t>
        </is>
      </c>
      <c r="B113" s="6" t="n">
        <v>45344</v>
      </c>
      <c r="C113" s="5" t="inlineStr">
        <is>
          <t>West</t>
        </is>
      </c>
      <c r="D113" s="5" t="inlineStr">
        <is>
          <t>Notebook</t>
        </is>
      </c>
      <c r="E113" s="5" t="inlineStr">
        <is>
          <t>Office Supplies</t>
        </is>
      </c>
      <c r="F113" s="7" t="n">
        <v>1743.49</v>
      </c>
      <c r="G113" s="7" t="n">
        <v>442.28</v>
      </c>
      <c r="H113" s="5" t="n">
        <v>1</v>
      </c>
    </row>
    <row r="114">
      <c r="A114" s="2" t="inlineStr">
        <is>
          <t>ORD-1113</t>
        </is>
      </c>
      <c r="B114" s="3" t="n">
        <v>45318</v>
      </c>
      <c r="C114" s="2" t="inlineStr">
        <is>
          <t>South</t>
        </is>
      </c>
      <c r="D114" s="2" t="inlineStr">
        <is>
          <t>Bookshelf</t>
        </is>
      </c>
      <c r="E114" s="2" t="inlineStr">
        <is>
          <t>Furniture</t>
        </is>
      </c>
      <c r="F114" s="4" t="n">
        <v>25435.26</v>
      </c>
      <c r="G114" s="4" t="n">
        <v>6530.75</v>
      </c>
      <c r="H114" s="2" t="n">
        <v>9</v>
      </c>
    </row>
    <row r="115">
      <c r="A115" s="5" t="inlineStr">
        <is>
          <t>ORD-1114</t>
        </is>
      </c>
      <c r="B115" s="6" t="n">
        <v>45329</v>
      </c>
      <c r="C115" s="5" t="inlineStr">
        <is>
          <t>West</t>
        </is>
      </c>
      <c r="D115" s="5" t="inlineStr">
        <is>
          <t>Monitor</t>
        </is>
      </c>
      <c r="E115" s="5" t="inlineStr">
        <is>
          <t>Electronics</t>
        </is>
      </c>
      <c r="F115" s="7" t="n">
        <v>36230.34</v>
      </c>
      <c r="G115" s="7" t="n">
        <v>3617.07</v>
      </c>
      <c r="H115" s="5" t="n">
        <v>19</v>
      </c>
    </row>
    <row r="116">
      <c r="A116" s="2" t="inlineStr">
        <is>
          <t>ORD-1115</t>
        </is>
      </c>
      <c r="B116" s="3" t="n">
        <v>45335</v>
      </c>
      <c r="C116" s="2" t="inlineStr">
        <is>
          <t>East</t>
        </is>
      </c>
      <c r="D116" s="2" t="inlineStr">
        <is>
          <t>Headphones</t>
        </is>
      </c>
      <c r="E116" s="2" t="inlineStr">
        <is>
          <t>Electronics</t>
        </is>
      </c>
      <c r="F116" s="4" t="n">
        <v>3195.44</v>
      </c>
      <c r="G116" s="4" t="n">
        <v>1159.45</v>
      </c>
      <c r="H116" s="2" t="n">
        <v>8</v>
      </c>
    </row>
    <row r="117">
      <c r="A117" s="5" t="inlineStr">
        <is>
          <t>ORD-1116</t>
        </is>
      </c>
      <c r="B117" s="6" t="n">
        <v>45559</v>
      </c>
      <c r="C117" s="5" t="inlineStr">
        <is>
          <t>South</t>
        </is>
      </c>
      <c r="D117" s="5" t="inlineStr">
        <is>
          <t>Markers</t>
        </is>
      </c>
      <c r="E117" s="5" t="inlineStr">
        <is>
          <t>Office Supplies</t>
        </is>
      </c>
      <c r="F117" s="7" t="n">
        <v>17927.26</v>
      </c>
      <c r="G117" s="7" t="n">
        <v>4370.79</v>
      </c>
      <c r="H117" s="5" t="n">
        <v>13</v>
      </c>
    </row>
    <row r="118">
      <c r="A118" s="2" t="inlineStr">
        <is>
          <t>ORD-1117</t>
        </is>
      </c>
      <c r="B118" s="3" t="n">
        <v>45583</v>
      </c>
      <c r="C118" s="2" t="inlineStr">
        <is>
          <t>East</t>
        </is>
      </c>
      <c r="D118" s="2" t="inlineStr">
        <is>
          <t>Paper Ream</t>
        </is>
      </c>
      <c r="E118" s="2" t="inlineStr">
        <is>
          <t>Office Supplies</t>
        </is>
      </c>
      <c r="F118" s="4" t="n">
        <v>4553.6</v>
      </c>
      <c r="G118" s="4" t="n">
        <v>1981.91</v>
      </c>
      <c r="H118" s="2" t="n">
        <v>20</v>
      </c>
    </row>
    <row r="119">
      <c r="A119" s="5" t="inlineStr">
        <is>
          <t>ORD-1118</t>
        </is>
      </c>
      <c r="B119" s="6" t="n">
        <v>45427</v>
      </c>
      <c r="C119" s="5" t="inlineStr">
        <is>
          <t>South</t>
        </is>
      </c>
      <c r="D119" s="5" t="inlineStr">
        <is>
          <t>Phone</t>
        </is>
      </c>
      <c r="E119" s="5" t="inlineStr">
        <is>
          <t>Electronics</t>
        </is>
      </c>
      <c r="F119" s="7" t="n">
        <v>1539.96</v>
      </c>
      <c r="G119" s="7" t="n">
        <v>222.23</v>
      </c>
      <c r="H119" s="5" t="n">
        <v>3</v>
      </c>
    </row>
    <row r="120">
      <c r="A120" s="2" t="inlineStr">
        <is>
          <t>ORD-1119</t>
        </is>
      </c>
      <c r="B120" s="3" t="n">
        <v>45501</v>
      </c>
      <c r="C120" s="2" t="inlineStr">
        <is>
          <t>North</t>
        </is>
      </c>
      <c r="D120" s="2" t="inlineStr">
        <is>
          <t>Phone</t>
        </is>
      </c>
      <c r="E120" s="2" t="inlineStr">
        <is>
          <t>Electronics</t>
        </is>
      </c>
      <c r="F120" s="4" t="n">
        <v>31254.6</v>
      </c>
      <c r="G120" s="4" t="n">
        <v>7934.53</v>
      </c>
      <c r="H120" s="2" t="n">
        <v>15</v>
      </c>
    </row>
    <row r="121">
      <c r="A121" s="5" t="inlineStr">
        <is>
          <t>ORD-1120</t>
        </is>
      </c>
      <c r="B121" s="6" t="n">
        <v>45653</v>
      </c>
      <c r="C121" s="5" t="inlineStr">
        <is>
          <t>East</t>
        </is>
      </c>
      <c r="D121" s="5" t="inlineStr">
        <is>
          <t>Phone</t>
        </is>
      </c>
      <c r="E121" s="5" t="inlineStr">
        <is>
          <t>Electronics</t>
        </is>
      </c>
      <c r="F121" s="7" t="n">
        <v>21238.1</v>
      </c>
      <c r="G121" s="7" t="n">
        <v>5266.87</v>
      </c>
      <c r="H121" s="5" t="n">
        <v>10</v>
      </c>
    </row>
    <row r="122">
      <c r="A122" s="2" t="inlineStr">
        <is>
          <t>ORD-1121</t>
        </is>
      </c>
      <c r="B122" s="3" t="n">
        <v>45612</v>
      </c>
      <c r="C122" s="2" t="inlineStr">
        <is>
          <t>East</t>
        </is>
      </c>
      <c r="D122" s="2" t="inlineStr">
        <is>
          <t>Notebook</t>
        </is>
      </c>
      <c r="E122" s="2" t="inlineStr">
        <is>
          <t>Office Supplies</t>
        </is>
      </c>
      <c r="F122" s="4" t="n">
        <v>38009.31</v>
      </c>
      <c r="G122" s="4" t="n">
        <v>16171.34</v>
      </c>
      <c r="H122" s="2" t="n">
        <v>19</v>
      </c>
    </row>
    <row r="123">
      <c r="A123" s="5" t="inlineStr">
        <is>
          <t>ORD-1122</t>
        </is>
      </c>
      <c r="B123" s="6" t="n">
        <v>45623</v>
      </c>
      <c r="C123" s="5" t="inlineStr">
        <is>
          <t>South</t>
        </is>
      </c>
      <c r="D123" s="5" t="inlineStr">
        <is>
          <t>Chair</t>
        </is>
      </c>
      <c r="E123" s="5" t="inlineStr">
        <is>
          <t>Furniture</t>
        </is>
      </c>
      <c r="F123" s="7" t="n">
        <v>13649.05</v>
      </c>
      <c r="G123" s="7" t="n">
        <v>5266.53</v>
      </c>
      <c r="H123" s="5" t="n">
        <v>5</v>
      </c>
    </row>
    <row r="124">
      <c r="A124" s="2" t="inlineStr">
        <is>
          <t>ORD-1123</t>
        </is>
      </c>
      <c r="B124" s="3" t="n">
        <v>45449</v>
      </c>
      <c r="C124" s="2" t="inlineStr">
        <is>
          <t>South</t>
        </is>
      </c>
      <c r="D124" s="2" t="inlineStr">
        <is>
          <t>Laptop</t>
        </is>
      </c>
      <c r="E124" s="2" t="inlineStr">
        <is>
          <t>Electronics</t>
        </is>
      </c>
      <c r="F124" s="4" t="n">
        <v>45188.6</v>
      </c>
      <c r="G124" s="4" t="n">
        <v>13132.11</v>
      </c>
      <c r="H124" s="2" t="n">
        <v>20</v>
      </c>
    </row>
    <row r="125">
      <c r="A125" s="5" t="inlineStr">
        <is>
          <t>ORD-1124</t>
        </is>
      </c>
      <c r="B125" s="6" t="n">
        <v>45531</v>
      </c>
      <c r="C125" s="5" t="inlineStr">
        <is>
          <t>North</t>
        </is>
      </c>
      <c r="D125" s="5" t="inlineStr">
        <is>
          <t>Cabinet</t>
        </is>
      </c>
      <c r="E125" s="5" t="inlineStr">
        <is>
          <t>Furniture</t>
        </is>
      </c>
      <c r="F125" s="7" t="n">
        <v>21142.1</v>
      </c>
      <c r="G125" s="7" t="n">
        <v>9065.530000000001</v>
      </c>
      <c r="H125" s="5" t="n">
        <v>10</v>
      </c>
    </row>
    <row r="126">
      <c r="A126" s="2" t="inlineStr">
        <is>
          <t>ORD-1125</t>
        </is>
      </c>
      <c r="B126" s="3" t="n">
        <v>45516</v>
      </c>
      <c r="C126" s="2" t="inlineStr">
        <is>
          <t>West</t>
        </is>
      </c>
      <c r="D126" s="2" t="inlineStr">
        <is>
          <t>Markers</t>
        </is>
      </c>
      <c r="E126" s="2" t="inlineStr">
        <is>
          <t>Office Supplies</t>
        </is>
      </c>
      <c r="F126" s="4" t="n">
        <v>5442.63</v>
      </c>
      <c r="G126" s="4" t="n">
        <v>2226.51</v>
      </c>
      <c r="H126" s="2" t="n">
        <v>3</v>
      </c>
    </row>
    <row r="127">
      <c r="A127" s="5" t="inlineStr">
        <is>
          <t>ORD-1126</t>
        </is>
      </c>
      <c r="B127" s="6" t="n">
        <v>45305</v>
      </c>
      <c r="C127" s="5" t="inlineStr">
        <is>
          <t>East</t>
        </is>
      </c>
      <c r="D127" s="5" t="inlineStr">
        <is>
          <t>Stapler</t>
        </is>
      </c>
      <c r="E127" s="5" t="inlineStr">
        <is>
          <t>Office Supplies</t>
        </is>
      </c>
      <c r="F127" s="7" t="n">
        <v>2175.99</v>
      </c>
      <c r="G127" s="7" t="n">
        <v>716.97</v>
      </c>
      <c r="H127" s="5" t="n">
        <v>3</v>
      </c>
    </row>
    <row r="128">
      <c r="A128" s="2" t="inlineStr">
        <is>
          <t>ORD-1127</t>
        </is>
      </c>
      <c r="B128" s="3" t="n">
        <v>45636</v>
      </c>
      <c r="C128" s="2" t="inlineStr">
        <is>
          <t>North</t>
        </is>
      </c>
      <c r="D128" s="2" t="inlineStr">
        <is>
          <t>Markers</t>
        </is>
      </c>
      <c r="E128" s="2" t="inlineStr">
        <is>
          <t>Office Supplies</t>
        </is>
      </c>
      <c r="F128" s="4" t="n">
        <v>15749.37</v>
      </c>
      <c r="G128" s="4" t="n">
        <v>5706.79</v>
      </c>
      <c r="H128" s="2" t="n">
        <v>9</v>
      </c>
    </row>
    <row r="129">
      <c r="A129" s="5" t="inlineStr">
        <is>
          <t>ORD-1128</t>
        </is>
      </c>
      <c r="B129" s="6" t="n">
        <v>45434</v>
      </c>
      <c r="C129" s="5" t="inlineStr">
        <is>
          <t>West</t>
        </is>
      </c>
      <c r="D129" s="5" t="inlineStr">
        <is>
          <t>Monitor</t>
        </is>
      </c>
      <c r="E129" s="5" t="inlineStr">
        <is>
          <t>Electronics</t>
        </is>
      </c>
      <c r="F129" s="7" t="n">
        <v>17945.94</v>
      </c>
      <c r="G129" s="7" t="n">
        <v>4329.95</v>
      </c>
      <c r="H129" s="5" t="n">
        <v>6</v>
      </c>
    </row>
    <row r="130">
      <c r="A130" s="2" t="inlineStr">
        <is>
          <t>ORD-1129</t>
        </is>
      </c>
      <c r="B130" s="3" t="n">
        <v>45470</v>
      </c>
      <c r="C130" s="2" t="inlineStr">
        <is>
          <t>West</t>
        </is>
      </c>
      <c r="D130" s="2" t="inlineStr">
        <is>
          <t>Chair</t>
        </is>
      </c>
      <c r="E130" s="2" t="inlineStr">
        <is>
          <t>Furniture</t>
        </is>
      </c>
      <c r="F130" s="4" t="n">
        <v>14465.64</v>
      </c>
      <c r="G130" s="4" t="n">
        <v>4744</v>
      </c>
      <c r="H130" s="2" t="n">
        <v>14</v>
      </c>
    </row>
    <row r="131">
      <c r="A131" s="5" t="inlineStr">
        <is>
          <t>ORD-1130</t>
        </is>
      </c>
      <c r="B131" s="6" t="n">
        <v>45647</v>
      </c>
      <c r="C131" s="5" t="inlineStr">
        <is>
          <t>West</t>
        </is>
      </c>
      <c r="D131" s="5" t="inlineStr">
        <is>
          <t>Tablet</t>
        </is>
      </c>
      <c r="E131" s="5" t="inlineStr">
        <is>
          <t>Electronics</t>
        </is>
      </c>
      <c r="F131" s="7" t="n">
        <v>14403.84</v>
      </c>
      <c r="G131" s="7" t="n">
        <v>6189.64</v>
      </c>
      <c r="H131" s="5" t="n">
        <v>16</v>
      </c>
    </row>
    <row r="132">
      <c r="A132" s="2" t="inlineStr">
        <is>
          <t>ORD-1131</t>
        </is>
      </c>
      <c r="B132" s="3" t="n">
        <v>45337</v>
      </c>
      <c r="C132" s="2" t="inlineStr">
        <is>
          <t>West</t>
        </is>
      </c>
      <c r="D132" s="2" t="inlineStr">
        <is>
          <t>Pen Set</t>
        </is>
      </c>
      <c r="E132" s="2" t="inlineStr">
        <is>
          <t>Office Supplies</t>
        </is>
      </c>
      <c r="F132" s="4" t="n">
        <v>8740.379999999999</v>
      </c>
      <c r="G132" s="4" t="n">
        <v>1074.11</v>
      </c>
      <c r="H132" s="2" t="n">
        <v>11</v>
      </c>
    </row>
    <row r="133">
      <c r="A133" s="5" t="inlineStr">
        <is>
          <t>ORD-1132</t>
        </is>
      </c>
      <c r="B133" s="6" t="n">
        <v>45628</v>
      </c>
      <c r="C133" s="5" t="inlineStr">
        <is>
          <t>North</t>
        </is>
      </c>
      <c r="D133" s="5" t="inlineStr">
        <is>
          <t>Sofa</t>
        </is>
      </c>
      <c r="E133" s="5" t="inlineStr">
        <is>
          <t>Furniture</t>
        </is>
      </c>
      <c r="F133" s="7" t="n">
        <v>25430.94</v>
      </c>
      <c r="G133" s="7" t="n">
        <v>2544.51</v>
      </c>
      <c r="H133" s="5" t="n">
        <v>18</v>
      </c>
    </row>
    <row r="134">
      <c r="A134" s="2" t="inlineStr">
        <is>
          <t>ORD-1133</t>
        </is>
      </c>
      <c r="B134" s="3" t="n">
        <v>45612</v>
      </c>
      <c r="C134" s="2" t="inlineStr">
        <is>
          <t>West</t>
        </is>
      </c>
      <c r="D134" s="2" t="inlineStr">
        <is>
          <t>Stapler</t>
        </is>
      </c>
      <c r="E134" s="2" t="inlineStr">
        <is>
          <t>Office Supplies</t>
        </is>
      </c>
      <c r="F134" s="4" t="n">
        <v>34379.55</v>
      </c>
      <c r="G134" s="4" t="n">
        <v>5339.71</v>
      </c>
      <c r="H134" s="2" t="n">
        <v>15</v>
      </c>
    </row>
    <row r="135">
      <c r="A135" s="5" t="inlineStr">
        <is>
          <t>ORD-1134</t>
        </is>
      </c>
      <c r="B135" s="6" t="n">
        <v>45516</v>
      </c>
      <c r="C135" s="5" t="inlineStr">
        <is>
          <t>East</t>
        </is>
      </c>
      <c r="D135" s="5" t="inlineStr">
        <is>
          <t>Notebook</t>
        </is>
      </c>
      <c r="E135" s="5" t="inlineStr">
        <is>
          <t>Office Supplies</t>
        </is>
      </c>
      <c r="F135" s="7" t="n">
        <v>6531.36</v>
      </c>
      <c r="G135" s="7" t="n">
        <v>2874.22</v>
      </c>
      <c r="H135" s="5" t="n">
        <v>16</v>
      </c>
    </row>
    <row r="136">
      <c r="A136" s="2" t="inlineStr">
        <is>
          <t>ORD-1135</t>
        </is>
      </c>
      <c r="B136" s="3" t="n">
        <v>45451</v>
      </c>
      <c r="C136" s="2" t="inlineStr">
        <is>
          <t>South</t>
        </is>
      </c>
      <c r="D136" s="2" t="inlineStr">
        <is>
          <t>Notebook</t>
        </is>
      </c>
      <c r="E136" s="2" t="inlineStr">
        <is>
          <t>Office Supplies</t>
        </is>
      </c>
      <c r="F136" s="4" t="n">
        <v>1626.12</v>
      </c>
      <c r="G136" s="4" t="n">
        <v>375.56</v>
      </c>
      <c r="H136" s="2" t="n">
        <v>18</v>
      </c>
    </row>
    <row r="137">
      <c r="A137" s="5" t="inlineStr">
        <is>
          <t>ORD-1136</t>
        </is>
      </c>
      <c r="B137" s="6" t="n">
        <v>45352</v>
      </c>
      <c r="C137" s="5" t="inlineStr">
        <is>
          <t>West</t>
        </is>
      </c>
      <c r="D137" s="5" t="inlineStr">
        <is>
          <t>Laptop</t>
        </is>
      </c>
      <c r="E137" s="5" t="inlineStr">
        <is>
          <t>Electronics</t>
        </is>
      </c>
      <c r="F137" s="7" t="n">
        <v>7601.05</v>
      </c>
      <c r="G137" s="7" t="n">
        <v>2623.45</v>
      </c>
      <c r="H137" s="5" t="n">
        <v>5</v>
      </c>
    </row>
    <row r="138">
      <c r="A138" s="2" t="inlineStr">
        <is>
          <t>ORD-1137</t>
        </is>
      </c>
      <c r="B138" s="3" t="n">
        <v>45539</v>
      </c>
      <c r="C138" s="2" t="inlineStr">
        <is>
          <t>West</t>
        </is>
      </c>
      <c r="D138" s="2" t="inlineStr">
        <is>
          <t>Stapler</t>
        </is>
      </c>
      <c r="E138" s="2" t="inlineStr">
        <is>
          <t>Office Supplies</t>
        </is>
      </c>
      <c r="F138" s="4" t="n">
        <v>12304.16</v>
      </c>
      <c r="G138" s="4" t="n">
        <v>3493.99</v>
      </c>
      <c r="H138" s="2" t="n">
        <v>16</v>
      </c>
    </row>
    <row r="139">
      <c r="A139" s="5" t="inlineStr">
        <is>
          <t>ORD-1138</t>
        </is>
      </c>
      <c r="B139" s="6" t="n">
        <v>45327</v>
      </c>
      <c r="C139" s="5" t="inlineStr">
        <is>
          <t>South</t>
        </is>
      </c>
      <c r="D139" s="5" t="inlineStr">
        <is>
          <t>Desk</t>
        </is>
      </c>
      <c r="E139" s="5" t="inlineStr">
        <is>
          <t>Furniture</t>
        </is>
      </c>
      <c r="F139" s="7" t="n">
        <v>20964.51</v>
      </c>
      <c r="G139" s="7" t="n">
        <v>8304.73</v>
      </c>
      <c r="H139" s="5" t="n">
        <v>9</v>
      </c>
    </row>
    <row r="140">
      <c r="A140" s="2" t="inlineStr">
        <is>
          <t>ORD-1139</t>
        </is>
      </c>
      <c r="B140" s="3" t="n">
        <v>45293</v>
      </c>
      <c r="C140" s="2" t="inlineStr">
        <is>
          <t>East</t>
        </is>
      </c>
      <c r="D140" s="2" t="inlineStr">
        <is>
          <t>Sofa</t>
        </is>
      </c>
      <c r="E140" s="2" t="inlineStr">
        <is>
          <t>Furniture</t>
        </is>
      </c>
      <c r="F140" s="4" t="n">
        <v>21918.5</v>
      </c>
      <c r="G140" s="4" t="n">
        <v>8545.280000000001</v>
      </c>
      <c r="H140" s="2" t="n">
        <v>10</v>
      </c>
    </row>
    <row r="141">
      <c r="A141" s="5" t="inlineStr">
        <is>
          <t>ORD-1140</t>
        </is>
      </c>
      <c r="B141" s="6" t="n">
        <v>45520</v>
      </c>
      <c r="C141" s="5" t="inlineStr">
        <is>
          <t>South</t>
        </is>
      </c>
      <c r="D141" s="5" t="inlineStr">
        <is>
          <t>Paper Ream</t>
        </is>
      </c>
      <c r="E141" s="5" t="inlineStr">
        <is>
          <t>Office Supplies</t>
        </is>
      </c>
      <c r="F141" s="7" t="n">
        <v>26618.58</v>
      </c>
      <c r="G141" s="7" t="n">
        <v>5403.65</v>
      </c>
      <c r="H141" s="5" t="n">
        <v>18</v>
      </c>
    </row>
    <row r="142">
      <c r="A142" s="2" t="inlineStr">
        <is>
          <t>ORD-1141</t>
        </is>
      </c>
      <c r="B142" s="3" t="n">
        <v>45456</v>
      </c>
      <c r="C142" s="2" t="inlineStr">
        <is>
          <t>West</t>
        </is>
      </c>
      <c r="D142" s="2" t="inlineStr">
        <is>
          <t>Paper Ream</t>
        </is>
      </c>
      <c r="E142" s="2" t="inlineStr">
        <is>
          <t>Office Supplies</t>
        </is>
      </c>
      <c r="F142" s="4" t="n">
        <v>20603.03</v>
      </c>
      <c r="G142" s="4" t="n">
        <v>3468.69</v>
      </c>
      <c r="H142" s="2" t="n">
        <v>7</v>
      </c>
    </row>
    <row r="143">
      <c r="A143" s="5" t="inlineStr">
        <is>
          <t>ORD-1142</t>
        </is>
      </c>
      <c r="B143" s="6" t="n">
        <v>45314</v>
      </c>
      <c r="C143" s="5" t="inlineStr">
        <is>
          <t>West</t>
        </is>
      </c>
      <c r="D143" s="5" t="inlineStr">
        <is>
          <t>Desk</t>
        </is>
      </c>
      <c r="E143" s="5" t="inlineStr">
        <is>
          <t>Furniture</t>
        </is>
      </c>
      <c r="F143" s="7" t="n">
        <v>24715.68</v>
      </c>
      <c r="G143" s="7" t="n">
        <v>8426.42</v>
      </c>
      <c r="H143" s="5" t="n">
        <v>11</v>
      </c>
    </row>
    <row r="144">
      <c r="A144" s="2" t="inlineStr">
        <is>
          <t>ORD-1143</t>
        </is>
      </c>
      <c r="B144" s="3" t="n">
        <v>45545</v>
      </c>
      <c r="C144" s="2" t="inlineStr">
        <is>
          <t>South</t>
        </is>
      </c>
      <c r="D144" s="2" t="inlineStr">
        <is>
          <t>Cabinet</t>
        </is>
      </c>
      <c r="E144" s="2" t="inlineStr">
        <is>
          <t>Furniture</t>
        </is>
      </c>
      <c r="F144" s="4" t="n">
        <v>844.86</v>
      </c>
      <c r="G144" s="4" t="n">
        <v>369.36</v>
      </c>
      <c r="H144" s="2" t="n">
        <v>2</v>
      </c>
    </row>
    <row r="145">
      <c r="A145" s="5" t="inlineStr">
        <is>
          <t>ORD-1144</t>
        </is>
      </c>
      <c r="B145" s="6" t="n">
        <v>45343</v>
      </c>
      <c r="C145" s="5" t="inlineStr">
        <is>
          <t>West</t>
        </is>
      </c>
      <c r="D145" s="5" t="inlineStr">
        <is>
          <t>Chair</t>
        </is>
      </c>
      <c r="E145" s="5" t="inlineStr">
        <is>
          <t>Furniture</t>
        </is>
      </c>
      <c r="F145" s="7" t="n">
        <v>46508.6</v>
      </c>
      <c r="G145" s="7" t="n">
        <v>3984.79</v>
      </c>
      <c r="H145" s="5" t="n">
        <v>17</v>
      </c>
    </row>
    <row r="146">
      <c r="A146" s="2" t="inlineStr">
        <is>
          <t>ORD-1145</t>
        </is>
      </c>
      <c r="B146" s="3" t="n">
        <v>45330</v>
      </c>
      <c r="C146" s="2" t="inlineStr">
        <is>
          <t>South</t>
        </is>
      </c>
      <c r="D146" s="2" t="inlineStr">
        <is>
          <t>Monitor</t>
        </is>
      </c>
      <c r="E146" s="2" t="inlineStr">
        <is>
          <t>Electronics</t>
        </is>
      </c>
      <c r="F146" s="4" t="n">
        <v>37688</v>
      </c>
      <c r="G146" s="4" t="n">
        <v>6710.67</v>
      </c>
      <c r="H146" s="2" t="n">
        <v>16</v>
      </c>
    </row>
    <row r="147">
      <c r="A147" s="5" t="inlineStr">
        <is>
          <t>ORD-1146</t>
        </is>
      </c>
      <c r="B147" s="6" t="n">
        <v>45460</v>
      </c>
      <c r="C147" s="5" t="inlineStr">
        <is>
          <t>North</t>
        </is>
      </c>
      <c r="D147" s="5" t="inlineStr">
        <is>
          <t>Paper Ream</t>
        </is>
      </c>
      <c r="E147" s="5" t="inlineStr">
        <is>
          <t>Office Supplies</t>
        </is>
      </c>
      <c r="F147" s="7" t="n">
        <v>21078.54</v>
      </c>
      <c r="G147" s="7" t="n">
        <v>4155.94</v>
      </c>
      <c r="H147" s="5" t="n">
        <v>18</v>
      </c>
    </row>
    <row r="148">
      <c r="A148" s="2" t="inlineStr">
        <is>
          <t>ORD-1147</t>
        </is>
      </c>
      <c r="B148" s="3" t="n">
        <v>45608</v>
      </c>
      <c r="C148" s="2" t="inlineStr">
        <is>
          <t>North</t>
        </is>
      </c>
      <c r="D148" s="2" t="inlineStr">
        <is>
          <t>Paper Ream</t>
        </is>
      </c>
      <c r="E148" s="2" t="inlineStr">
        <is>
          <t>Office Supplies</t>
        </is>
      </c>
      <c r="F148" s="4" t="n">
        <v>2227.71</v>
      </c>
      <c r="G148" s="4" t="n">
        <v>742.33</v>
      </c>
      <c r="H148" s="2" t="n">
        <v>3</v>
      </c>
    </row>
    <row r="149">
      <c r="A149" s="5" t="inlineStr">
        <is>
          <t>ORD-1148</t>
        </is>
      </c>
      <c r="B149" s="6" t="n">
        <v>45514</v>
      </c>
      <c r="C149" s="5" t="inlineStr">
        <is>
          <t>North</t>
        </is>
      </c>
      <c r="D149" s="5" t="inlineStr">
        <is>
          <t>Desk</t>
        </is>
      </c>
      <c r="E149" s="5" t="inlineStr">
        <is>
          <t>Furniture</t>
        </is>
      </c>
      <c r="F149" s="7" t="n">
        <v>9172.360000000001</v>
      </c>
      <c r="G149" s="7" t="n">
        <v>3122.63</v>
      </c>
      <c r="H149" s="5" t="n">
        <v>4</v>
      </c>
    </row>
    <row r="150">
      <c r="A150" s="2" t="inlineStr">
        <is>
          <t>ORD-1149</t>
        </is>
      </c>
      <c r="B150" s="3" t="n">
        <v>45647</v>
      </c>
      <c r="C150" s="2" t="inlineStr">
        <is>
          <t>South</t>
        </is>
      </c>
      <c r="D150" s="2" t="inlineStr">
        <is>
          <t>Monitor</t>
        </is>
      </c>
      <c r="E150" s="2" t="inlineStr">
        <is>
          <t>Electronics</t>
        </is>
      </c>
      <c r="F150" s="4" t="n">
        <v>27151</v>
      </c>
      <c r="G150" s="4" t="n">
        <v>2634.1</v>
      </c>
      <c r="H150" s="2" t="n">
        <v>10</v>
      </c>
    </row>
    <row r="151">
      <c r="A151" s="5" t="inlineStr">
        <is>
          <t>ORD-1150</t>
        </is>
      </c>
      <c r="B151" s="6" t="n">
        <v>45483</v>
      </c>
      <c r="C151" s="5" t="inlineStr">
        <is>
          <t>East</t>
        </is>
      </c>
      <c r="D151" s="5" t="inlineStr">
        <is>
          <t>Tablet</t>
        </is>
      </c>
      <c r="E151" s="5" t="inlineStr">
        <is>
          <t>Electronics</t>
        </is>
      </c>
      <c r="F151" s="7" t="n">
        <v>6712.02</v>
      </c>
      <c r="G151" s="7" t="n">
        <v>1856.09</v>
      </c>
      <c r="H151" s="5" t="n">
        <v>14</v>
      </c>
    </row>
    <row r="152">
      <c r="A152" s="2" t="inlineStr">
        <is>
          <t>ORD-1151</t>
        </is>
      </c>
      <c r="B152" s="3" t="n">
        <v>45381</v>
      </c>
      <c r="C152" s="2" t="inlineStr">
        <is>
          <t>South</t>
        </is>
      </c>
      <c r="D152" s="2" t="inlineStr">
        <is>
          <t>Notebook</t>
        </is>
      </c>
      <c r="E152" s="2" t="inlineStr">
        <is>
          <t>Office Supplies</t>
        </is>
      </c>
      <c r="F152" s="4" t="n">
        <v>5544</v>
      </c>
      <c r="G152" s="4" t="n">
        <v>1228.23</v>
      </c>
      <c r="H152" s="2" t="n">
        <v>3</v>
      </c>
    </row>
    <row r="153">
      <c r="A153" s="5" t="inlineStr">
        <is>
          <t>ORD-1152</t>
        </is>
      </c>
      <c r="B153" s="6" t="n">
        <v>45590</v>
      </c>
      <c r="C153" s="5" t="inlineStr">
        <is>
          <t>West</t>
        </is>
      </c>
      <c r="D153" s="5" t="inlineStr">
        <is>
          <t>Notebook</t>
        </is>
      </c>
      <c r="E153" s="5" t="inlineStr">
        <is>
          <t>Office Supplies</t>
        </is>
      </c>
      <c r="F153" s="7" t="n">
        <v>3674.8</v>
      </c>
      <c r="G153" s="7" t="n">
        <v>1161.33</v>
      </c>
      <c r="H153" s="5" t="n">
        <v>5</v>
      </c>
    </row>
    <row r="154">
      <c r="A154" s="2" t="inlineStr">
        <is>
          <t>ORD-1153</t>
        </is>
      </c>
      <c r="B154" s="3" t="n">
        <v>45530</v>
      </c>
      <c r="C154" s="2" t="inlineStr">
        <is>
          <t>North</t>
        </is>
      </c>
      <c r="D154" s="2" t="inlineStr">
        <is>
          <t>Bookshelf</t>
        </is>
      </c>
      <c r="E154" s="2" t="inlineStr">
        <is>
          <t>Furniture</t>
        </is>
      </c>
      <c r="F154" s="4" t="n">
        <v>20489.5</v>
      </c>
      <c r="G154" s="4" t="n">
        <v>2836.79</v>
      </c>
      <c r="H154" s="2" t="n">
        <v>10</v>
      </c>
    </row>
    <row r="155">
      <c r="A155" s="5" t="inlineStr">
        <is>
          <t>ORD-1154</t>
        </is>
      </c>
      <c r="B155" s="6" t="n">
        <v>45619</v>
      </c>
      <c r="C155" s="5" t="inlineStr">
        <is>
          <t>East</t>
        </is>
      </c>
      <c r="D155" s="5" t="inlineStr">
        <is>
          <t>Bookshelf</t>
        </is>
      </c>
      <c r="E155" s="5" t="inlineStr">
        <is>
          <t>Furniture</t>
        </is>
      </c>
      <c r="F155" s="7" t="n">
        <v>29209.88</v>
      </c>
      <c r="G155" s="7" t="n">
        <v>7274.11</v>
      </c>
      <c r="H155" s="5" t="n">
        <v>14</v>
      </c>
    </row>
    <row r="156">
      <c r="A156" s="2" t="inlineStr">
        <is>
          <t>ORD-1155</t>
        </is>
      </c>
      <c r="B156" s="3" t="n">
        <v>45539</v>
      </c>
      <c r="C156" s="2" t="inlineStr">
        <is>
          <t>West</t>
        </is>
      </c>
      <c r="D156" s="2" t="inlineStr">
        <is>
          <t>Desk</t>
        </is>
      </c>
      <c r="E156" s="2" t="inlineStr">
        <is>
          <t>Furniture</t>
        </is>
      </c>
      <c r="F156" s="4" t="n">
        <v>2999.04</v>
      </c>
      <c r="G156" s="4" t="n">
        <v>874.55</v>
      </c>
      <c r="H156" s="2" t="n">
        <v>4</v>
      </c>
    </row>
    <row r="157">
      <c r="A157" s="5" t="inlineStr">
        <is>
          <t>ORD-1156</t>
        </is>
      </c>
      <c r="B157" s="6" t="n">
        <v>45303</v>
      </c>
      <c r="C157" s="5" t="inlineStr">
        <is>
          <t>East</t>
        </is>
      </c>
      <c r="D157" s="5" t="inlineStr">
        <is>
          <t>Stapler</t>
        </is>
      </c>
      <c r="E157" s="5" t="inlineStr">
        <is>
          <t>Office Supplies</t>
        </is>
      </c>
      <c r="F157" s="7" t="n">
        <v>11176.36</v>
      </c>
      <c r="G157" s="7" t="n">
        <v>3234.37</v>
      </c>
      <c r="H157" s="5" t="n">
        <v>13</v>
      </c>
    </row>
    <row r="158">
      <c r="A158" s="2" t="inlineStr">
        <is>
          <t>ORD-1157</t>
        </is>
      </c>
      <c r="B158" s="3" t="n">
        <v>45438</v>
      </c>
      <c r="C158" s="2" t="inlineStr">
        <is>
          <t>West</t>
        </is>
      </c>
      <c r="D158" s="2" t="inlineStr">
        <is>
          <t>Pen Set</t>
        </is>
      </c>
      <c r="E158" s="2" t="inlineStr">
        <is>
          <t>Office Supplies</t>
        </is>
      </c>
      <c r="F158" s="4" t="n">
        <v>14726.72</v>
      </c>
      <c r="G158" s="4" t="n">
        <v>3097.89</v>
      </c>
      <c r="H158" s="2" t="n">
        <v>8</v>
      </c>
    </row>
    <row r="159">
      <c r="A159" s="5" t="inlineStr">
        <is>
          <t>ORD-1158</t>
        </is>
      </c>
      <c r="B159" s="6" t="n">
        <v>45639</v>
      </c>
      <c r="C159" s="5" t="inlineStr">
        <is>
          <t>East</t>
        </is>
      </c>
      <c r="D159" s="5" t="inlineStr">
        <is>
          <t>Notebook</t>
        </is>
      </c>
      <c r="E159" s="5" t="inlineStr">
        <is>
          <t>Office Supplies</t>
        </is>
      </c>
      <c r="F159" s="7" t="n">
        <v>9516.65</v>
      </c>
      <c r="G159" s="7" t="n">
        <v>3942.36</v>
      </c>
      <c r="H159" s="5" t="n">
        <v>5</v>
      </c>
    </row>
    <row r="160">
      <c r="A160" s="2" t="inlineStr">
        <is>
          <t>ORD-1159</t>
        </is>
      </c>
      <c r="B160" s="3" t="n">
        <v>45517</v>
      </c>
      <c r="C160" s="2" t="inlineStr">
        <is>
          <t>East</t>
        </is>
      </c>
      <c r="D160" s="2" t="inlineStr">
        <is>
          <t>Pen Set</t>
        </is>
      </c>
      <c r="E160" s="2" t="inlineStr">
        <is>
          <t>Office Supplies</t>
        </is>
      </c>
      <c r="F160" s="4" t="n">
        <v>3519.48</v>
      </c>
      <c r="G160" s="4" t="n">
        <v>1235.24</v>
      </c>
      <c r="H160" s="2" t="n">
        <v>2</v>
      </c>
    </row>
    <row r="161">
      <c r="A161" s="5" t="inlineStr">
        <is>
          <t>ORD-1160</t>
        </is>
      </c>
      <c r="B161" s="6" t="n">
        <v>45504</v>
      </c>
      <c r="C161" s="5" t="inlineStr">
        <is>
          <t>East</t>
        </is>
      </c>
      <c r="D161" s="5" t="inlineStr">
        <is>
          <t>Tablet</t>
        </is>
      </c>
      <c r="E161" s="5" t="inlineStr">
        <is>
          <t>Electronics</t>
        </is>
      </c>
      <c r="F161" s="7" t="n">
        <v>3854.04</v>
      </c>
      <c r="G161" s="7" t="n">
        <v>1429.89</v>
      </c>
      <c r="H161" s="5" t="n">
        <v>6</v>
      </c>
    </row>
    <row r="162">
      <c r="A162" s="2" t="inlineStr">
        <is>
          <t>ORD-1161</t>
        </is>
      </c>
      <c r="B162" s="3" t="n">
        <v>45376</v>
      </c>
      <c r="C162" s="2" t="inlineStr">
        <is>
          <t>East</t>
        </is>
      </c>
      <c r="D162" s="2" t="inlineStr">
        <is>
          <t>Sofa</t>
        </is>
      </c>
      <c r="E162" s="2" t="inlineStr">
        <is>
          <t>Furniture</t>
        </is>
      </c>
      <c r="F162" s="4" t="n">
        <v>24717.96</v>
      </c>
      <c r="G162" s="4" t="n">
        <v>10612.64</v>
      </c>
      <c r="H162" s="2" t="n">
        <v>9</v>
      </c>
    </row>
    <row r="163">
      <c r="A163" s="5" t="inlineStr">
        <is>
          <t>ORD-1162</t>
        </is>
      </c>
      <c r="B163" s="6" t="n">
        <v>45531</v>
      </c>
      <c r="C163" s="5" t="inlineStr">
        <is>
          <t>North</t>
        </is>
      </c>
      <c r="D163" s="5" t="inlineStr">
        <is>
          <t>Bookshelf</t>
        </is>
      </c>
      <c r="E163" s="5" t="inlineStr">
        <is>
          <t>Furniture</t>
        </is>
      </c>
      <c r="F163" s="7" t="n">
        <v>1395.69</v>
      </c>
      <c r="G163" s="7" t="n">
        <v>610.76</v>
      </c>
      <c r="H163" s="5" t="n">
        <v>3</v>
      </c>
    </row>
    <row r="164">
      <c r="A164" s="2" t="inlineStr">
        <is>
          <t>ORD-1163</t>
        </is>
      </c>
      <c r="B164" s="3" t="n">
        <v>45338</v>
      </c>
      <c r="C164" s="2" t="inlineStr">
        <is>
          <t>East</t>
        </is>
      </c>
      <c r="D164" s="2" t="inlineStr">
        <is>
          <t>Paper Ream</t>
        </is>
      </c>
      <c r="E164" s="2" t="inlineStr">
        <is>
          <t>Office Supplies</t>
        </is>
      </c>
      <c r="F164" s="4" t="n">
        <v>1183.78</v>
      </c>
      <c r="G164" s="4" t="n">
        <v>329.72</v>
      </c>
      <c r="H164" s="2" t="n">
        <v>13</v>
      </c>
    </row>
    <row r="165">
      <c r="A165" s="5" t="inlineStr">
        <is>
          <t>ORD-1164</t>
        </is>
      </c>
      <c r="B165" s="6" t="n">
        <v>45591</v>
      </c>
      <c r="C165" s="5" t="inlineStr">
        <is>
          <t>East</t>
        </is>
      </c>
      <c r="D165" s="5" t="inlineStr">
        <is>
          <t>Bookshelf</t>
        </is>
      </c>
      <c r="E165" s="5" t="inlineStr">
        <is>
          <t>Furniture</t>
        </is>
      </c>
      <c r="F165" s="7" t="n">
        <v>32189.69</v>
      </c>
      <c r="G165" s="7" t="n">
        <v>13774.23</v>
      </c>
      <c r="H165" s="5" t="n">
        <v>13</v>
      </c>
    </row>
    <row r="166">
      <c r="A166" s="2" t="inlineStr">
        <is>
          <t>ORD-1165</t>
        </is>
      </c>
      <c r="B166" s="3" t="n">
        <v>45304</v>
      </c>
      <c r="C166" s="2" t="inlineStr">
        <is>
          <t>West</t>
        </is>
      </c>
      <c r="D166" s="2" t="inlineStr">
        <is>
          <t>Phone</t>
        </is>
      </c>
      <c r="E166" s="2" t="inlineStr">
        <is>
          <t>Electronics</t>
        </is>
      </c>
      <c r="F166" s="4" t="n">
        <v>53169.8</v>
      </c>
      <c r="G166" s="4" t="n">
        <v>15298.05</v>
      </c>
      <c r="H166" s="2" t="n">
        <v>20</v>
      </c>
    </row>
    <row r="167">
      <c r="A167" s="5" t="inlineStr">
        <is>
          <t>ORD-1166</t>
        </is>
      </c>
      <c r="B167" s="6" t="n">
        <v>45617</v>
      </c>
      <c r="C167" s="5" t="inlineStr">
        <is>
          <t>North</t>
        </is>
      </c>
      <c r="D167" s="5" t="inlineStr">
        <is>
          <t>Notebook</t>
        </is>
      </c>
      <c r="E167" s="5" t="inlineStr">
        <is>
          <t>Office Supplies</t>
        </is>
      </c>
      <c r="F167" s="7" t="n">
        <v>40990.35</v>
      </c>
      <c r="G167" s="7" t="n">
        <v>7862.37</v>
      </c>
      <c r="H167" s="5" t="n">
        <v>15</v>
      </c>
    </row>
    <row r="168">
      <c r="A168" s="2" t="inlineStr">
        <is>
          <t>ORD-1167</t>
        </is>
      </c>
      <c r="B168" s="3" t="n">
        <v>45315</v>
      </c>
      <c r="C168" s="2" t="inlineStr">
        <is>
          <t>South</t>
        </is>
      </c>
      <c r="D168" s="2" t="inlineStr">
        <is>
          <t>Chair</t>
        </is>
      </c>
      <c r="E168" s="2" t="inlineStr">
        <is>
          <t>Furniture</t>
        </is>
      </c>
      <c r="F168" s="4" t="n">
        <v>1895.76</v>
      </c>
      <c r="G168" s="4" t="n">
        <v>497.2</v>
      </c>
      <c r="H168" s="2" t="n">
        <v>2</v>
      </c>
    </row>
    <row r="169">
      <c r="A169" s="5" t="inlineStr">
        <is>
          <t>ORD-1168</t>
        </is>
      </c>
      <c r="B169" s="6" t="n">
        <v>45490</v>
      </c>
      <c r="C169" s="5" t="inlineStr">
        <is>
          <t>South</t>
        </is>
      </c>
      <c r="D169" s="5" t="inlineStr">
        <is>
          <t>Phone</t>
        </is>
      </c>
      <c r="E169" s="5" t="inlineStr">
        <is>
          <t>Electronics</t>
        </is>
      </c>
      <c r="F169" s="7" t="n">
        <v>17167.2</v>
      </c>
      <c r="G169" s="7" t="n">
        <v>7403.71</v>
      </c>
      <c r="H169" s="5" t="n">
        <v>15</v>
      </c>
    </row>
    <row r="170">
      <c r="A170" s="2" t="inlineStr">
        <is>
          <t>ORD-1169</t>
        </is>
      </c>
      <c r="B170" s="3" t="n">
        <v>45592</v>
      </c>
      <c r="C170" s="2" t="inlineStr">
        <is>
          <t>West</t>
        </is>
      </c>
      <c r="D170" s="2" t="inlineStr">
        <is>
          <t>Markers</t>
        </is>
      </c>
      <c r="E170" s="2" t="inlineStr">
        <is>
          <t>Office Supplies</t>
        </is>
      </c>
      <c r="F170" s="4" t="n">
        <v>13309.85</v>
      </c>
      <c r="G170" s="4" t="n">
        <v>4290.05</v>
      </c>
      <c r="H170" s="2" t="n">
        <v>5</v>
      </c>
    </row>
    <row r="171">
      <c r="A171" s="5" t="inlineStr">
        <is>
          <t>ORD-1170</t>
        </is>
      </c>
      <c r="B171" s="6" t="n">
        <v>45435</v>
      </c>
      <c r="C171" s="5" t="inlineStr">
        <is>
          <t>West</t>
        </is>
      </c>
      <c r="D171" s="5" t="inlineStr">
        <is>
          <t>Sofa</t>
        </is>
      </c>
      <c r="E171" s="5" t="inlineStr">
        <is>
          <t>Furniture</t>
        </is>
      </c>
      <c r="F171" s="7" t="n">
        <v>4172.66</v>
      </c>
      <c r="G171" s="7" t="n">
        <v>669.25</v>
      </c>
      <c r="H171" s="5" t="n">
        <v>2</v>
      </c>
    </row>
    <row r="172">
      <c r="A172" s="2" t="inlineStr">
        <is>
          <t>ORD-1171</t>
        </is>
      </c>
      <c r="B172" s="3" t="n">
        <v>45342</v>
      </c>
      <c r="C172" s="2" t="inlineStr">
        <is>
          <t>East</t>
        </is>
      </c>
      <c r="D172" s="2" t="inlineStr">
        <is>
          <t>Desk</t>
        </is>
      </c>
      <c r="E172" s="2" t="inlineStr">
        <is>
          <t>Furniture</t>
        </is>
      </c>
      <c r="F172" s="4" t="n">
        <v>19874.04</v>
      </c>
      <c r="G172" s="4" t="n">
        <v>8780.389999999999</v>
      </c>
      <c r="H172" s="2" t="n">
        <v>12</v>
      </c>
    </row>
    <row r="173">
      <c r="A173" s="5" t="inlineStr">
        <is>
          <t>ORD-1172</t>
        </is>
      </c>
      <c r="B173" s="6" t="n">
        <v>45433</v>
      </c>
      <c r="C173" s="5" t="inlineStr">
        <is>
          <t>West</t>
        </is>
      </c>
      <c r="D173" s="5" t="inlineStr">
        <is>
          <t>Chair</t>
        </is>
      </c>
      <c r="E173" s="5" t="inlineStr">
        <is>
          <t>Furniture</t>
        </is>
      </c>
      <c r="F173" s="7" t="n">
        <v>20343.47</v>
      </c>
      <c r="G173" s="7" t="n">
        <v>8770.76</v>
      </c>
      <c r="H173" s="5" t="n">
        <v>7</v>
      </c>
    </row>
    <row r="174">
      <c r="A174" s="2" t="inlineStr">
        <is>
          <t>ORD-1173</t>
        </is>
      </c>
      <c r="B174" s="3" t="n">
        <v>45620</v>
      </c>
      <c r="C174" s="2" t="inlineStr">
        <is>
          <t>South</t>
        </is>
      </c>
      <c r="D174" s="2" t="inlineStr">
        <is>
          <t>Chair</t>
        </is>
      </c>
      <c r="E174" s="2" t="inlineStr">
        <is>
          <t>Furniture</t>
        </is>
      </c>
      <c r="F174" s="4" t="n">
        <v>58294.6</v>
      </c>
      <c r="G174" s="4" t="n">
        <v>5754.5</v>
      </c>
      <c r="H174" s="2" t="n">
        <v>20</v>
      </c>
    </row>
    <row r="175">
      <c r="A175" s="5" t="inlineStr">
        <is>
          <t>ORD-1174</t>
        </is>
      </c>
      <c r="B175" s="6" t="n">
        <v>45581</v>
      </c>
      <c r="C175" s="5" t="inlineStr">
        <is>
          <t>South</t>
        </is>
      </c>
      <c r="D175" s="5" t="inlineStr">
        <is>
          <t>Desk</t>
        </is>
      </c>
      <c r="E175" s="5" t="inlineStr">
        <is>
          <t>Furniture</t>
        </is>
      </c>
      <c r="F175" s="7" t="n">
        <v>1766.8</v>
      </c>
      <c r="G175" s="7" t="n">
        <v>641.54</v>
      </c>
      <c r="H175" s="5" t="n">
        <v>7</v>
      </c>
    </row>
    <row r="176">
      <c r="A176" s="2" t="inlineStr">
        <is>
          <t>ORD-1175</t>
        </is>
      </c>
      <c r="B176" s="3" t="n">
        <v>45411</v>
      </c>
      <c r="C176" s="2" t="inlineStr">
        <is>
          <t>South</t>
        </is>
      </c>
      <c r="D176" s="2" t="inlineStr">
        <is>
          <t>Headphones</t>
        </is>
      </c>
      <c r="E176" s="2" t="inlineStr">
        <is>
          <t>Electronics</t>
        </is>
      </c>
      <c r="F176" s="4" t="n">
        <v>25678.29</v>
      </c>
      <c r="G176" s="4" t="n">
        <v>9547.139999999999</v>
      </c>
      <c r="H176" s="2" t="n">
        <v>11</v>
      </c>
    </row>
    <row r="177">
      <c r="A177" s="5" t="inlineStr">
        <is>
          <t>ORD-1176</t>
        </is>
      </c>
      <c r="B177" s="6" t="n">
        <v>45366</v>
      </c>
      <c r="C177" s="5" t="inlineStr">
        <is>
          <t>East</t>
        </is>
      </c>
      <c r="D177" s="5" t="inlineStr">
        <is>
          <t>Pen Set</t>
        </is>
      </c>
      <c r="E177" s="5" t="inlineStr">
        <is>
          <t>Office Supplies</t>
        </is>
      </c>
      <c r="F177" s="7" t="n">
        <v>8218.200000000001</v>
      </c>
      <c r="G177" s="7" t="n">
        <v>3085.52</v>
      </c>
      <c r="H177" s="5" t="n">
        <v>5</v>
      </c>
    </row>
    <row r="178">
      <c r="A178" s="2" t="inlineStr">
        <is>
          <t>ORD-1177</t>
        </is>
      </c>
      <c r="B178" s="3" t="n">
        <v>45299</v>
      </c>
      <c r="C178" s="2" t="inlineStr">
        <is>
          <t>South</t>
        </is>
      </c>
      <c r="D178" s="2" t="inlineStr">
        <is>
          <t>Laptop</t>
        </is>
      </c>
      <c r="E178" s="2" t="inlineStr">
        <is>
          <t>Electronics</t>
        </is>
      </c>
      <c r="F178" s="4" t="n">
        <v>28565.4</v>
      </c>
      <c r="G178" s="4" t="n">
        <v>4799.98</v>
      </c>
      <c r="H178" s="2" t="n">
        <v>12</v>
      </c>
    </row>
    <row r="179">
      <c r="A179" s="5" t="inlineStr">
        <is>
          <t>ORD-1178</t>
        </is>
      </c>
      <c r="B179" s="6" t="n">
        <v>45427</v>
      </c>
      <c r="C179" s="5" t="inlineStr">
        <is>
          <t>South</t>
        </is>
      </c>
      <c r="D179" s="5" t="inlineStr">
        <is>
          <t>Chair</t>
        </is>
      </c>
      <c r="E179" s="5" t="inlineStr">
        <is>
          <t>Furniture</t>
        </is>
      </c>
      <c r="F179" s="7" t="n">
        <v>847.88</v>
      </c>
      <c r="G179" s="7" t="n">
        <v>199.89</v>
      </c>
      <c r="H179" s="5" t="n">
        <v>2</v>
      </c>
    </row>
    <row r="180">
      <c r="A180" s="2" t="inlineStr">
        <is>
          <t>ORD-1179</t>
        </is>
      </c>
      <c r="B180" s="3" t="n">
        <v>45521</v>
      </c>
      <c r="C180" s="2" t="inlineStr">
        <is>
          <t>West</t>
        </is>
      </c>
      <c r="D180" s="2" t="inlineStr">
        <is>
          <t>Laptop</t>
        </is>
      </c>
      <c r="E180" s="2" t="inlineStr">
        <is>
          <t>Electronics</t>
        </is>
      </c>
      <c r="F180" s="4" t="n">
        <v>18768.6</v>
      </c>
      <c r="G180" s="4" t="n">
        <v>2258.8</v>
      </c>
      <c r="H180" s="2" t="n">
        <v>12</v>
      </c>
    </row>
    <row r="181">
      <c r="A181" s="5" t="inlineStr">
        <is>
          <t>ORD-1180</t>
        </is>
      </c>
      <c r="B181" s="6" t="n">
        <v>45629</v>
      </c>
      <c r="C181" s="5" t="inlineStr">
        <is>
          <t>North</t>
        </is>
      </c>
      <c r="D181" s="5" t="inlineStr">
        <is>
          <t>Notebook</t>
        </is>
      </c>
      <c r="E181" s="5" t="inlineStr">
        <is>
          <t>Office Supplies</t>
        </is>
      </c>
      <c r="F181" s="7" t="n">
        <v>15976.77</v>
      </c>
      <c r="G181" s="7" t="n">
        <v>5081.19</v>
      </c>
      <c r="H181" s="5" t="n">
        <v>17</v>
      </c>
    </row>
    <row r="182">
      <c r="A182" s="2" t="inlineStr">
        <is>
          <t>ORD-1181</t>
        </is>
      </c>
      <c r="B182" s="3" t="n">
        <v>45497</v>
      </c>
      <c r="C182" s="2" t="inlineStr">
        <is>
          <t>West</t>
        </is>
      </c>
      <c r="D182" s="2" t="inlineStr">
        <is>
          <t>Laptop</t>
        </is>
      </c>
      <c r="E182" s="2" t="inlineStr">
        <is>
          <t>Electronics</t>
        </is>
      </c>
      <c r="F182" s="4" t="n">
        <v>29035.86</v>
      </c>
      <c r="G182" s="4" t="n">
        <v>7589.96</v>
      </c>
      <c r="H182" s="2" t="n">
        <v>14</v>
      </c>
    </row>
    <row r="183">
      <c r="A183" s="5" t="inlineStr">
        <is>
          <t>ORD-1182</t>
        </is>
      </c>
      <c r="B183" s="6" t="n">
        <v>45456</v>
      </c>
      <c r="C183" s="5" t="inlineStr">
        <is>
          <t>North</t>
        </is>
      </c>
      <c r="D183" s="5" t="inlineStr">
        <is>
          <t>Chair</t>
        </is>
      </c>
      <c r="E183" s="5" t="inlineStr">
        <is>
          <t>Furniture</t>
        </is>
      </c>
      <c r="F183" s="7" t="n">
        <v>9751.6</v>
      </c>
      <c r="G183" s="7" t="n">
        <v>1235.44</v>
      </c>
      <c r="H183" s="5" t="n">
        <v>20</v>
      </c>
    </row>
    <row r="184">
      <c r="A184" s="2" t="inlineStr">
        <is>
          <t>ORD-1183</t>
        </is>
      </c>
      <c r="B184" s="3" t="n">
        <v>45487</v>
      </c>
      <c r="C184" s="2" t="inlineStr">
        <is>
          <t>East</t>
        </is>
      </c>
      <c r="D184" s="2" t="inlineStr">
        <is>
          <t>Markers</t>
        </is>
      </c>
      <c r="E184" s="2" t="inlineStr">
        <is>
          <t>Office Supplies</t>
        </is>
      </c>
      <c r="F184" s="4" t="n">
        <v>32302.8</v>
      </c>
      <c r="G184" s="4" t="n">
        <v>8007.05</v>
      </c>
      <c r="H184" s="2" t="n">
        <v>20</v>
      </c>
    </row>
    <row r="185">
      <c r="A185" s="5" t="inlineStr">
        <is>
          <t>ORD-1184</t>
        </is>
      </c>
      <c r="B185" s="6" t="n">
        <v>45651</v>
      </c>
      <c r="C185" s="5" t="inlineStr">
        <is>
          <t>North</t>
        </is>
      </c>
      <c r="D185" s="5" t="inlineStr">
        <is>
          <t>Paper Ream</t>
        </is>
      </c>
      <c r="E185" s="5" t="inlineStr">
        <is>
          <t>Office Supplies</t>
        </is>
      </c>
      <c r="F185" s="7" t="n">
        <v>10262.96</v>
      </c>
      <c r="G185" s="7" t="n">
        <v>3292.76</v>
      </c>
      <c r="H185" s="5" t="n">
        <v>4</v>
      </c>
    </row>
    <row r="186">
      <c r="A186" s="2" t="inlineStr">
        <is>
          <t>ORD-1185</t>
        </is>
      </c>
      <c r="B186" s="3" t="n">
        <v>45523</v>
      </c>
      <c r="C186" s="2" t="inlineStr">
        <is>
          <t>West</t>
        </is>
      </c>
      <c r="D186" s="2" t="inlineStr">
        <is>
          <t>Notebook</t>
        </is>
      </c>
      <c r="E186" s="2" t="inlineStr">
        <is>
          <t>Office Supplies</t>
        </is>
      </c>
      <c r="F186" s="4" t="n">
        <v>10166</v>
      </c>
      <c r="G186" s="4" t="n">
        <v>3925.55</v>
      </c>
      <c r="H186" s="2" t="n">
        <v>8</v>
      </c>
    </row>
    <row r="187">
      <c r="A187" s="5" t="inlineStr">
        <is>
          <t>ORD-1186</t>
        </is>
      </c>
      <c r="B187" s="6" t="n">
        <v>45452</v>
      </c>
      <c r="C187" s="5" t="inlineStr">
        <is>
          <t>North</t>
        </is>
      </c>
      <c r="D187" s="5" t="inlineStr">
        <is>
          <t>Cabinet</t>
        </is>
      </c>
      <c r="E187" s="5" t="inlineStr">
        <is>
          <t>Furniture</t>
        </is>
      </c>
      <c r="F187" s="7" t="n">
        <v>13607.16</v>
      </c>
      <c r="G187" s="7" t="n">
        <v>2371.85</v>
      </c>
      <c r="H187" s="5" t="n">
        <v>14</v>
      </c>
    </row>
    <row r="188">
      <c r="A188" s="2" t="inlineStr">
        <is>
          <t>ORD-1187</t>
        </is>
      </c>
      <c r="B188" s="3" t="n">
        <v>45338</v>
      </c>
      <c r="C188" s="2" t="inlineStr">
        <is>
          <t>North</t>
        </is>
      </c>
      <c r="D188" s="2" t="inlineStr">
        <is>
          <t>Monitor</t>
        </is>
      </c>
      <c r="E188" s="2" t="inlineStr">
        <is>
          <t>Electronics</t>
        </is>
      </c>
      <c r="F188" s="4" t="n">
        <v>975.09</v>
      </c>
      <c r="G188" s="4" t="n">
        <v>112.85</v>
      </c>
      <c r="H188" s="2" t="n">
        <v>3</v>
      </c>
    </row>
    <row r="189">
      <c r="A189" s="5" t="inlineStr">
        <is>
          <t>ORD-1188</t>
        </is>
      </c>
      <c r="B189" s="6" t="n">
        <v>45576</v>
      </c>
      <c r="C189" s="5" t="inlineStr">
        <is>
          <t>South</t>
        </is>
      </c>
      <c r="D189" s="5" t="inlineStr">
        <is>
          <t>Stapler</t>
        </is>
      </c>
      <c r="E189" s="5" t="inlineStr">
        <is>
          <t>Office Supplies</t>
        </is>
      </c>
      <c r="F189" s="7" t="n">
        <v>3560.14</v>
      </c>
      <c r="G189" s="7" t="n">
        <v>1024.56</v>
      </c>
      <c r="H189" s="5" t="n">
        <v>2</v>
      </c>
    </row>
    <row r="190">
      <c r="A190" s="2" t="inlineStr">
        <is>
          <t>ORD-1189</t>
        </is>
      </c>
      <c r="B190" s="3" t="n">
        <v>45473</v>
      </c>
      <c r="C190" s="2" t="inlineStr">
        <is>
          <t>West</t>
        </is>
      </c>
      <c r="D190" s="2" t="inlineStr">
        <is>
          <t>Chair</t>
        </is>
      </c>
      <c r="E190" s="2" t="inlineStr">
        <is>
          <t>Furniture</t>
        </is>
      </c>
      <c r="F190" s="4" t="n">
        <v>36552.18</v>
      </c>
      <c r="G190" s="4" t="n">
        <v>12676.02</v>
      </c>
      <c r="H190" s="2" t="n">
        <v>14</v>
      </c>
    </row>
    <row r="191">
      <c r="A191" s="5" t="inlineStr">
        <is>
          <t>ORD-1190</t>
        </is>
      </c>
      <c r="B191" s="6" t="n">
        <v>45472</v>
      </c>
      <c r="C191" s="5" t="inlineStr">
        <is>
          <t>East</t>
        </is>
      </c>
      <c r="D191" s="5" t="inlineStr">
        <is>
          <t>Sofa</t>
        </is>
      </c>
      <c r="E191" s="5" t="inlineStr">
        <is>
          <t>Furniture</t>
        </is>
      </c>
      <c r="F191" s="7" t="n">
        <v>7019.44</v>
      </c>
      <c r="G191" s="7" t="n">
        <v>1114.08</v>
      </c>
      <c r="H191" s="5" t="n">
        <v>4</v>
      </c>
    </row>
    <row r="192">
      <c r="A192" s="2" t="inlineStr">
        <is>
          <t>ORD-1191</t>
        </is>
      </c>
      <c r="B192" s="3" t="n">
        <v>45347</v>
      </c>
      <c r="C192" s="2" t="inlineStr">
        <is>
          <t>South</t>
        </is>
      </c>
      <c r="D192" s="2" t="inlineStr">
        <is>
          <t>Paper Ream</t>
        </is>
      </c>
      <c r="E192" s="2" t="inlineStr">
        <is>
          <t>Office Supplies</t>
        </is>
      </c>
      <c r="F192" s="4" t="n">
        <v>30526.2</v>
      </c>
      <c r="G192" s="4" t="n">
        <v>6593.59</v>
      </c>
      <c r="H192" s="2" t="n">
        <v>12</v>
      </c>
    </row>
    <row r="193">
      <c r="A193" s="5" t="inlineStr">
        <is>
          <t>ORD-1192</t>
        </is>
      </c>
      <c r="B193" s="6" t="n">
        <v>45511</v>
      </c>
      <c r="C193" s="5" t="inlineStr">
        <is>
          <t>South</t>
        </is>
      </c>
      <c r="D193" s="5" t="inlineStr">
        <is>
          <t>Sofa</t>
        </is>
      </c>
      <c r="E193" s="5" t="inlineStr">
        <is>
          <t>Furniture</t>
        </is>
      </c>
      <c r="F193" s="7" t="n">
        <v>52648.38</v>
      </c>
      <c r="G193" s="7" t="n">
        <v>20154.74</v>
      </c>
      <c r="H193" s="5" t="n">
        <v>18</v>
      </c>
    </row>
    <row r="194">
      <c r="A194" s="2" t="inlineStr">
        <is>
          <t>ORD-1193</t>
        </is>
      </c>
      <c r="B194" s="3" t="n">
        <v>45603</v>
      </c>
      <c r="C194" s="2" t="inlineStr">
        <is>
          <t>North</t>
        </is>
      </c>
      <c r="D194" s="2" t="inlineStr">
        <is>
          <t>Markers</t>
        </is>
      </c>
      <c r="E194" s="2" t="inlineStr">
        <is>
          <t>Office Supplies</t>
        </is>
      </c>
      <c r="F194" s="4" t="n">
        <v>1218.69</v>
      </c>
      <c r="G194" s="4" t="n">
        <v>220.72</v>
      </c>
      <c r="H194" s="2" t="n">
        <v>9</v>
      </c>
    </row>
    <row r="195">
      <c r="A195" s="5" t="inlineStr">
        <is>
          <t>ORD-1194</t>
        </is>
      </c>
      <c r="B195" s="6" t="n">
        <v>45295</v>
      </c>
      <c r="C195" s="5" t="inlineStr">
        <is>
          <t>East</t>
        </is>
      </c>
      <c r="D195" s="5" t="inlineStr">
        <is>
          <t>Bookshelf</t>
        </is>
      </c>
      <c r="E195" s="5" t="inlineStr">
        <is>
          <t>Furniture</t>
        </is>
      </c>
      <c r="F195" s="7" t="n">
        <v>15696.54</v>
      </c>
      <c r="G195" s="7" t="n">
        <v>4544.76</v>
      </c>
      <c r="H195" s="5" t="n">
        <v>6</v>
      </c>
    </row>
    <row r="196">
      <c r="A196" s="2" t="inlineStr">
        <is>
          <t>ORD-1195</t>
        </is>
      </c>
      <c r="B196" s="3" t="n">
        <v>45616</v>
      </c>
      <c r="C196" s="2" t="inlineStr">
        <is>
          <t>South</t>
        </is>
      </c>
      <c r="D196" s="2" t="inlineStr">
        <is>
          <t>Chair</t>
        </is>
      </c>
      <c r="E196" s="2" t="inlineStr">
        <is>
          <t>Furniture</t>
        </is>
      </c>
      <c r="F196" s="4" t="n">
        <v>320.69</v>
      </c>
      <c r="G196" s="4" t="n">
        <v>88.59999999999999</v>
      </c>
      <c r="H196" s="2" t="n">
        <v>1</v>
      </c>
    </row>
    <row r="197">
      <c r="A197" s="5" t="inlineStr">
        <is>
          <t>ORD-1196</t>
        </is>
      </c>
      <c r="B197" s="6" t="n">
        <v>45466</v>
      </c>
      <c r="C197" s="5" t="inlineStr">
        <is>
          <t>West</t>
        </is>
      </c>
      <c r="D197" s="5" t="inlineStr">
        <is>
          <t>Cabinet</t>
        </is>
      </c>
      <c r="E197" s="5" t="inlineStr">
        <is>
          <t>Furniture</t>
        </is>
      </c>
      <c r="F197" s="7" t="n">
        <v>6849.96</v>
      </c>
      <c r="G197" s="7" t="n">
        <v>2376.87</v>
      </c>
      <c r="H197" s="5" t="n">
        <v>6</v>
      </c>
    </row>
    <row r="198">
      <c r="A198" s="2" t="inlineStr">
        <is>
          <t>ORD-1197</t>
        </is>
      </c>
      <c r="B198" s="3" t="n">
        <v>45318</v>
      </c>
      <c r="C198" s="2" t="inlineStr">
        <is>
          <t>North</t>
        </is>
      </c>
      <c r="D198" s="2" t="inlineStr">
        <is>
          <t>Markers</t>
        </is>
      </c>
      <c r="E198" s="2" t="inlineStr">
        <is>
          <t>Office Supplies</t>
        </is>
      </c>
      <c r="F198" s="4" t="n">
        <v>2571.8</v>
      </c>
      <c r="G198" s="4" t="n">
        <v>793.66</v>
      </c>
      <c r="H198" s="2" t="n">
        <v>5</v>
      </c>
    </row>
    <row r="199">
      <c r="A199" s="5" t="inlineStr">
        <is>
          <t>ORD-1198</t>
        </is>
      </c>
      <c r="B199" s="6" t="n">
        <v>45518</v>
      </c>
      <c r="C199" s="5" t="inlineStr">
        <is>
          <t>East</t>
        </is>
      </c>
      <c r="D199" s="5" t="inlineStr">
        <is>
          <t>Pen Set</t>
        </is>
      </c>
      <c r="E199" s="5" t="inlineStr">
        <is>
          <t>Office Supplies</t>
        </is>
      </c>
      <c r="F199" s="7" t="n">
        <v>20757.8</v>
      </c>
      <c r="G199" s="7" t="n">
        <v>5055.69</v>
      </c>
      <c r="H199" s="5" t="n">
        <v>14</v>
      </c>
    </row>
    <row r="200">
      <c r="A200" s="2" t="inlineStr">
        <is>
          <t>ORD-1199</t>
        </is>
      </c>
      <c r="B200" s="3" t="n">
        <v>45468</v>
      </c>
      <c r="C200" s="2" t="inlineStr">
        <is>
          <t>North</t>
        </is>
      </c>
      <c r="D200" s="2" t="inlineStr">
        <is>
          <t>Desk</t>
        </is>
      </c>
      <c r="E200" s="2" t="inlineStr">
        <is>
          <t>Furniture</t>
        </is>
      </c>
      <c r="F200" s="4" t="n">
        <v>5279.68</v>
      </c>
      <c r="G200" s="4" t="n">
        <v>1747.26</v>
      </c>
      <c r="H200" s="2" t="n">
        <v>14</v>
      </c>
    </row>
    <row r="201">
      <c r="A201" s="5" t="inlineStr">
        <is>
          <t>ORD-1200</t>
        </is>
      </c>
      <c r="B201" s="6" t="n">
        <v>45315</v>
      </c>
      <c r="C201" s="5" t="inlineStr">
        <is>
          <t>East</t>
        </is>
      </c>
      <c r="D201" s="5" t="inlineStr">
        <is>
          <t>Paper Ream</t>
        </is>
      </c>
      <c r="E201" s="5" t="inlineStr">
        <is>
          <t>Office Supplies</t>
        </is>
      </c>
      <c r="F201" s="7" t="n">
        <v>9728.24</v>
      </c>
      <c r="G201" s="7" t="n">
        <v>2935.5</v>
      </c>
      <c r="H201" s="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8" customWidth="1" min="4" max="4"/>
    <col width="18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Sales</t>
        </is>
      </c>
      <c r="G1" s="1" t="inlineStr">
        <is>
          <t>Profit</t>
        </is>
      </c>
      <c r="H1" s="1" t="inlineStr">
        <is>
          <t>Quantity</t>
        </is>
      </c>
      <c r="I1" s="1" t="inlineStr">
        <is>
          <t>Profit Margin</t>
        </is>
      </c>
      <c r="J1" s="1" t="inlineStr">
        <is>
          <t>Sales Category</t>
        </is>
      </c>
    </row>
    <row r="2">
      <c r="A2" s="2">
        <f>'Sales Data'!A2</f>
        <v/>
      </c>
      <c r="B2" s="3">
        <f>'Sales Data'!B2</f>
        <v/>
      </c>
      <c r="C2" s="2">
        <f>'Sales Data'!C2</f>
        <v/>
      </c>
      <c r="D2" s="2">
        <f>'Sales Data'!D2</f>
        <v/>
      </c>
      <c r="E2" s="2">
        <f>'Sales Data'!E2</f>
        <v/>
      </c>
      <c r="F2" s="4">
        <f>'Sales Data'!F2</f>
        <v/>
      </c>
      <c r="G2" s="4">
        <f>'Sales Data'!G2</f>
        <v/>
      </c>
      <c r="H2" s="2">
        <f>'Sales Data'!H2</f>
        <v/>
      </c>
      <c r="I2" s="8">
        <f>IFERROR(G2/F2,0)</f>
        <v/>
      </c>
      <c r="J2" s="2">
        <f>IF(F2&gt;5000,"High","Medium")</f>
        <v/>
      </c>
    </row>
    <row r="3">
      <c r="A3" s="5">
        <f>'Sales Data'!A3</f>
        <v/>
      </c>
      <c r="B3" s="6">
        <f>'Sales Data'!B3</f>
        <v/>
      </c>
      <c r="C3" s="5">
        <f>'Sales Data'!C3</f>
        <v/>
      </c>
      <c r="D3" s="5">
        <f>'Sales Data'!D3</f>
        <v/>
      </c>
      <c r="E3" s="5">
        <f>'Sales Data'!E3</f>
        <v/>
      </c>
      <c r="F3" s="7">
        <f>'Sales Data'!F3</f>
        <v/>
      </c>
      <c r="G3" s="7">
        <f>'Sales Data'!G3</f>
        <v/>
      </c>
      <c r="H3" s="5">
        <f>'Sales Data'!H3</f>
        <v/>
      </c>
      <c r="I3" s="9">
        <f>IFERROR(G3/F3,0)</f>
        <v/>
      </c>
      <c r="J3" s="5">
        <f>IF(F3&gt;5000,"High","Medium")</f>
        <v/>
      </c>
    </row>
    <row r="4">
      <c r="A4" s="2">
        <f>'Sales Data'!A4</f>
        <v/>
      </c>
      <c r="B4" s="3">
        <f>'Sales Data'!B4</f>
        <v/>
      </c>
      <c r="C4" s="2">
        <f>'Sales Data'!C4</f>
        <v/>
      </c>
      <c r="D4" s="2">
        <f>'Sales Data'!D4</f>
        <v/>
      </c>
      <c r="E4" s="2">
        <f>'Sales Data'!E4</f>
        <v/>
      </c>
      <c r="F4" s="4">
        <f>'Sales Data'!F4</f>
        <v/>
      </c>
      <c r="G4" s="4">
        <f>'Sales Data'!G4</f>
        <v/>
      </c>
      <c r="H4" s="2">
        <f>'Sales Data'!H4</f>
        <v/>
      </c>
      <c r="I4" s="8">
        <f>IFERROR(G4/F4,0)</f>
        <v/>
      </c>
      <c r="J4" s="2">
        <f>IF(F4&gt;5000,"High","Medium")</f>
        <v/>
      </c>
    </row>
    <row r="5">
      <c r="A5" s="5">
        <f>'Sales Data'!A5</f>
        <v/>
      </c>
      <c r="B5" s="6">
        <f>'Sales Data'!B5</f>
        <v/>
      </c>
      <c r="C5" s="5">
        <f>'Sales Data'!C5</f>
        <v/>
      </c>
      <c r="D5" s="5">
        <f>'Sales Data'!D5</f>
        <v/>
      </c>
      <c r="E5" s="5">
        <f>'Sales Data'!E5</f>
        <v/>
      </c>
      <c r="F5" s="7">
        <f>'Sales Data'!F5</f>
        <v/>
      </c>
      <c r="G5" s="7">
        <f>'Sales Data'!G5</f>
        <v/>
      </c>
      <c r="H5" s="5">
        <f>'Sales Data'!H5</f>
        <v/>
      </c>
      <c r="I5" s="9">
        <f>IFERROR(G5/F5,0)</f>
        <v/>
      </c>
      <c r="J5" s="5">
        <f>IF(F5&gt;5000,"High","Medium")</f>
        <v/>
      </c>
    </row>
    <row r="6">
      <c r="A6" s="2">
        <f>'Sales Data'!A6</f>
        <v/>
      </c>
      <c r="B6" s="3">
        <f>'Sales Data'!B6</f>
        <v/>
      </c>
      <c r="C6" s="2">
        <f>'Sales Data'!C6</f>
        <v/>
      </c>
      <c r="D6" s="2">
        <f>'Sales Data'!D6</f>
        <v/>
      </c>
      <c r="E6" s="2">
        <f>'Sales Data'!E6</f>
        <v/>
      </c>
      <c r="F6" s="4">
        <f>'Sales Data'!F6</f>
        <v/>
      </c>
      <c r="G6" s="4">
        <f>'Sales Data'!G6</f>
        <v/>
      </c>
      <c r="H6" s="2">
        <f>'Sales Data'!H6</f>
        <v/>
      </c>
      <c r="I6" s="8">
        <f>IFERROR(G6/F6,0)</f>
        <v/>
      </c>
      <c r="J6" s="2">
        <f>IF(F6&gt;5000,"High","Medium")</f>
        <v/>
      </c>
    </row>
    <row r="7">
      <c r="A7" s="5">
        <f>'Sales Data'!A7</f>
        <v/>
      </c>
      <c r="B7" s="6">
        <f>'Sales Data'!B7</f>
        <v/>
      </c>
      <c r="C7" s="5">
        <f>'Sales Data'!C7</f>
        <v/>
      </c>
      <c r="D7" s="5">
        <f>'Sales Data'!D7</f>
        <v/>
      </c>
      <c r="E7" s="5">
        <f>'Sales Data'!E7</f>
        <v/>
      </c>
      <c r="F7" s="7">
        <f>'Sales Data'!F7</f>
        <v/>
      </c>
      <c r="G7" s="7">
        <f>'Sales Data'!G7</f>
        <v/>
      </c>
      <c r="H7" s="5">
        <f>'Sales Data'!H7</f>
        <v/>
      </c>
      <c r="I7" s="9">
        <f>IFERROR(G7/F7,0)</f>
        <v/>
      </c>
      <c r="J7" s="5">
        <f>IF(F7&gt;5000,"High","Medium")</f>
        <v/>
      </c>
    </row>
    <row r="8">
      <c r="A8" s="2">
        <f>'Sales Data'!A8</f>
        <v/>
      </c>
      <c r="B8" s="3">
        <f>'Sales Data'!B8</f>
        <v/>
      </c>
      <c r="C8" s="2">
        <f>'Sales Data'!C8</f>
        <v/>
      </c>
      <c r="D8" s="2">
        <f>'Sales Data'!D8</f>
        <v/>
      </c>
      <c r="E8" s="2">
        <f>'Sales Data'!E8</f>
        <v/>
      </c>
      <c r="F8" s="4">
        <f>'Sales Data'!F8</f>
        <v/>
      </c>
      <c r="G8" s="4">
        <f>'Sales Data'!G8</f>
        <v/>
      </c>
      <c r="H8" s="2">
        <f>'Sales Data'!H8</f>
        <v/>
      </c>
      <c r="I8" s="8">
        <f>IFERROR(G8/F8,0)</f>
        <v/>
      </c>
      <c r="J8" s="2">
        <f>IF(F8&gt;5000,"High","Medium")</f>
        <v/>
      </c>
    </row>
    <row r="9">
      <c r="A9" s="5">
        <f>'Sales Data'!A9</f>
        <v/>
      </c>
      <c r="B9" s="6">
        <f>'Sales Data'!B9</f>
        <v/>
      </c>
      <c r="C9" s="5">
        <f>'Sales Data'!C9</f>
        <v/>
      </c>
      <c r="D9" s="5">
        <f>'Sales Data'!D9</f>
        <v/>
      </c>
      <c r="E9" s="5">
        <f>'Sales Data'!E9</f>
        <v/>
      </c>
      <c r="F9" s="7">
        <f>'Sales Data'!F9</f>
        <v/>
      </c>
      <c r="G9" s="7">
        <f>'Sales Data'!G9</f>
        <v/>
      </c>
      <c r="H9" s="5">
        <f>'Sales Data'!H9</f>
        <v/>
      </c>
      <c r="I9" s="9">
        <f>IFERROR(G9/F9,0)</f>
        <v/>
      </c>
      <c r="J9" s="5">
        <f>IF(F9&gt;5000,"High","Medium")</f>
        <v/>
      </c>
    </row>
    <row r="10">
      <c r="A10" s="2">
        <f>'Sales Data'!A10</f>
        <v/>
      </c>
      <c r="B10" s="3">
        <f>'Sales Data'!B10</f>
        <v/>
      </c>
      <c r="C10" s="2">
        <f>'Sales Data'!C10</f>
        <v/>
      </c>
      <c r="D10" s="2">
        <f>'Sales Data'!D10</f>
        <v/>
      </c>
      <c r="E10" s="2">
        <f>'Sales Data'!E10</f>
        <v/>
      </c>
      <c r="F10" s="4">
        <f>'Sales Data'!F10</f>
        <v/>
      </c>
      <c r="G10" s="4">
        <f>'Sales Data'!G10</f>
        <v/>
      </c>
      <c r="H10" s="2">
        <f>'Sales Data'!H10</f>
        <v/>
      </c>
      <c r="I10" s="8">
        <f>IFERROR(G10/F10,0)</f>
        <v/>
      </c>
      <c r="J10" s="2">
        <f>IF(F10&gt;5000,"High","Medium")</f>
        <v/>
      </c>
    </row>
    <row r="11">
      <c r="A11" s="5">
        <f>'Sales Data'!A11</f>
        <v/>
      </c>
      <c r="B11" s="6">
        <f>'Sales Data'!B11</f>
        <v/>
      </c>
      <c r="C11" s="5">
        <f>'Sales Data'!C11</f>
        <v/>
      </c>
      <c r="D11" s="5">
        <f>'Sales Data'!D11</f>
        <v/>
      </c>
      <c r="E11" s="5">
        <f>'Sales Data'!E11</f>
        <v/>
      </c>
      <c r="F11" s="7">
        <f>'Sales Data'!F11</f>
        <v/>
      </c>
      <c r="G11" s="7">
        <f>'Sales Data'!G11</f>
        <v/>
      </c>
      <c r="H11" s="5">
        <f>'Sales Data'!H11</f>
        <v/>
      </c>
      <c r="I11" s="9">
        <f>IFERROR(G11/F11,0)</f>
        <v/>
      </c>
      <c r="J11" s="5">
        <f>IF(F11&gt;5000,"High","Medium")</f>
        <v/>
      </c>
    </row>
    <row r="12">
      <c r="A12" s="2">
        <f>'Sales Data'!A12</f>
        <v/>
      </c>
      <c r="B12" s="3">
        <f>'Sales Data'!B12</f>
        <v/>
      </c>
      <c r="C12" s="2">
        <f>'Sales Data'!C12</f>
        <v/>
      </c>
      <c r="D12" s="2">
        <f>'Sales Data'!D12</f>
        <v/>
      </c>
      <c r="E12" s="2">
        <f>'Sales Data'!E12</f>
        <v/>
      </c>
      <c r="F12" s="4">
        <f>'Sales Data'!F12</f>
        <v/>
      </c>
      <c r="G12" s="4">
        <f>'Sales Data'!G12</f>
        <v/>
      </c>
      <c r="H12" s="2">
        <f>'Sales Data'!H12</f>
        <v/>
      </c>
      <c r="I12" s="8">
        <f>IFERROR(G12/F12,0)</f>
        <v/>
      </c>
      <c r="J12" s="2">
        <f>IF(F12&gt;5000,"High","Medium")</f>
        <v/>
      </c>
    </row>
    <row r="13">
      <c r="A13" s="5">
        <f>'Sales Data'!A13</f>
        <v/>
      </c>
      <c r="B13" s="6">
        <f>'Sales Data'!B13</f>
        <v/>
      </c>
      <c r="C13" s="5">
        <f>'Sales Data'!C13</f>
        <v/>
      </c>
      <c r="D13" s="5">
        <f>'Sales Data'!D13</f>
        <v/>
      </c>
      <c r="E13" s="5">
        <f>'Sales Data'!E13</f>
        <v/>
      </c>
      <c r="F13" s="7">
        <f>'Sales Data'!F13</f>
        <v/>
      </c>
      <c r="G13" s="7">
        <f>'Sales Data'!G13</f>
        <v/>
      </c>
      <c r="H13" s="5">
        <f>'Sales Data'!H13</f>
        <v/>
      </c>
      <c r="I13" s="9">
        <f>IFERROR(G13/F13,0)</f>
        <v/>
      </c>
      <c r="J13" s="5">
        <f>IF(F13&gt;5000,"High","Medium")</f>
        <v/>
      </c>
    </row>
    <row r="14">
      <c r="A14" s="2">
        <f>'Sales Data'!A14</f>
        <v/>
      </c>
      <c r="B14" s="3">
        <f>'Sales Data'!B14</f>
        <v/>
      </c>
      <c r="C14" s="2">
        <f>'Sales Data'!C14</f>
        <v/>
      </c>
      <c r="D14" s="2">
        <f>'Sales Data'!D14</f>
        <v/>
      </c>
      <c r="E14" s="2">
        <f>'Sales Data'!E14</f>
        <v/>
      </c>
      <c r="F14" s="4">
        <f>'Sales Data'!F14</f>
        <v/>
      </c>
      <c r="G14" s="4">
        <f>'Sales Data'!G14</f>
        <v/>
      </c>
      <c r="H14" s="2">
        <f>'Sales Data'!H14</f>
        <v/>
      </c>
      <c r="I14" s="8">
        <f>IFERROR(G14/F14,0)</f>
        <v/>
      </c>
      <c r="J14" s="2">
        <f>IF(F14&gt;5000,"High","Medium")</f>
        <v/>
      </c>
    </row>
    <row r="15">
      <c r="A15" s="5">
        <f>'Sales Data'!A15</f>
        <v/>
      </c>
      <c r="B15" s="6">
        <f>'Sales Data'!B15</f>
        <v/>
      </c>
      <c r="C15" s="5">
        <f>'Sales Data'!C15</f>
        <v/>
      </c>
      <c r="D15" s="5">
        <f>'Sales Data'!D15</f>
        <v/>
      </c>
      <c r="E15" s="5">
        <f>'Sales Data'!E15</f>
        <v/>
      </c>
      <c r="F15" s="7">
        <f>'Sales Data'!F15</f>
        <v/>
      </c>
      <c r="G15" s="7">
        <f>'Sales Data'!G15</f>
        <v/>
      </c>
      <c r="H15" s="5">
        <f>'Sales Data'!H15</f>
        <v/>
      </c>
      <c r="I15" s="9">
        <f>IFERROR(G15/F15,0)</f>
        <v/>
      </c>
      <c r="J15" s="5">
        <f>IF(F15&gt;5000,"High","Medium")</f>
        <v/>
      </c>
    </row>
    <row r="16">
      <c r="A16" s="2">
        <f>'Sales Data'!A16</f>
        <v/>
      </c>
      <c r="B16" s="3">
        <f>'Sales Data'!B16</f>
        <v/>
      </c>
      <c r="C16" s="2">
        <f>'Sales Data'!C16</f>
        <v/>
      </c>
      <c r="D16" s="2">
        <f>'Sales Data'!D16</f>
        <v/>
      </c>
      <c r="E16" s="2">
        <f>'Sales Data'!E16</f>
        <v/>
      </c>
      <c r="F16" s="4">
        <f>'Sales Data'!F16</f>
        <v/>
      </c>
      <c r="G16" s="4">
        <f>'Sales Data'!G16</f>
        <v/>
      </c>
      <c r="H16" s="2">
        <f>'Sales Data'!H16</f>
        <v/>
      </c>
      <c r="I16" s="8">
        <f>IFERROR(G16/F16,0)</f>
        <v/>
      </c>
      <c r="J16" s="2">
        <f>IF(F16&gt;5000,"High","Medium")</f>
        <v/>
      </c>
    </row>
    <row r="17">
      <c r="A17" s="5">
        <f>'Sales Data'!A17</f>
        <v/>
      </c>
      <c r="B17" s="6">
        <f>'Sales Data'!B17</f>
        <v/>
      </c>
      <c r="C17" s="5">
        <f>'Sales Data'!C17</f>
        <v/>
      </c>
      <c r="D17" s="5">
        <f>'Sales Data'!D17</f>
        <v/>
      </c>
      <c r="E17" s="5">
        <f>'Sales Data'!E17</f>
        <v/>
      </c>
      <c r="F17" s="7">
        <f>'Sales Data'!F17</f>
        <v/>
      </c>
      <c r="G17" s="7">
        <f>'Sales Data'!G17</f>
        <v/>
      </c>
      <c r="H17" s="5">
        <f>'Sales Data'!H17</f>
        <v/>
      </c>
      <c r="I17" s="9">
        <f>IFERROR(G17/F17,0)</f>
        <v/>
      </c>
      <c r="J17" s="5">
        <f>IF(F17&gt;5000,"High","Medium")</f>
        <v/>
      </c>
    </row>
    <row r="18">
      <c r="A18" s="2">
        <f>'Sales Data'!A18</f>
        <v/>
      </c>
      <c r="B18" s="3">
        <f>'Sales Data'!B18</f>
        <v/>
      </c>
      <c r="C18" s="2">
        <f>'Sales Data'!C18</f>
        <v/>
      </c>
      <c r="D18" s="2">
        <f>'Sales Data'!D18</f>
        <v/>
      </c>
      <c r="E18" s="2">
        <f>'Sales Data'!E18</f>
        <v/>
      </c>
      <c r="F18" s="4">
        <f>'Sales Data'!F18</f>
        <v/>
      </c>
      <c r="G18" s="4">
        <f>'Sales Data'!G18</f>
        <v/>
      </c>
      <c r="H18" s="2">
        <f>'Sales Data'!H18</f>
        <v/>
      </c>
      <c r="I18" s="8">
        <f>IFERROR(G18/F18,0)</f>
        <v/>
      </c>
      <c r="J18" s="2">
        <f>IF(F18&gt;5000,"High","Medium")</f>
        <v/>
      </c>
    </row>
    <row r="19">
      <c r="A19" s="5">
        <f>'Sales Data'!A19</f>
        <v/>
      </c>
      <c r="B19" s="6">
        <f>'Sales Data'!B19</f>
        <v/>
      </c>
      <c r="C19" s="5">
        <f>'Sales Data'!C19</f>
        <v/>
      </c>
      <c r="D19" s="5">
        <f>'Sales Data'!D19</f>
        <v/>
      </c>
      <c r="E19" s="5">
        <f>'Sales Data'!E19</f>
        <v/>
      </c>
      <c r="F19" s="7">
        <f>'Sales Data'!F19</f>
        <v/>
      </c>
      <c r="G19" s="7">
        <f>'Sales Data'!G19</f>
        <v/>
      </c>
      <c r="H19" s="5">
        <f>'Sales Data'!H19</f>
        <v/>
      </c>
      <c r="I19" s="9">
        <f>IFERROR(G19/F19,0)</f>
        <v/>
      </c>
      <c r="J19" s="5">
        <f>IF(F19&gt;5000,"High","Medium")</f>
        <v/>
      </c>
    </row>
    <row r="20">
      <c r="A20" s="2">
        <f>'Sales Data'!A20</f>
        <v/>
      </c>
      <c r="B20" s="3">
        <f>'Sales Data'!B20</f>
        <v/>
      </c>
      <c r="C20" s="2">
        <f>'Sales Data'!C20</f>
        <v/>
      </c>
      <c r="D20" s="2">
        <f>'Sales Data'!D20</f>
        <v/>
      </c>
      <c r="E20" s="2">
        <f>'Sales Data'!E20</f>
        <v/>
      </c>
      <c r="F20" s="4">
        <f>'Sales Data'!F20</f>
        <v/>
      </c>
      <c r="G20" s="4">
        <f>'Sales Data'!G20</f>
        <v/>
      </c>
      <c r="H20" s="2">
        <f>'Sales Data'!H20</f>
        <v/>
      </c>
      <c r="I20" s="8">
        <f>IFERROR(G20/F20,0)</f>
        <v/>
      </c>
      <c r="J20" s="2">
        <f>IF(F20&gt;5000,"High","Medium")</f>
        <v/>
      </c>
    </row>
    <row r="21">
      <c r="A21" s="5">
        <f>'Sales Data'!A21</f>
        <v/>
      </c>
      <c r="B21" s="6">
        <f>'Sales Data'!B21</f>
        <v/>
      </c>
      <c r="C21" s="5">
        <f>'Sales Data'!C21</f>
        <v/>
      </c>
      <c r="D21" s="5">
        <f>'Sales Data'!D21</f>
        <v/>
      </c>
      <c r="E21" s="5">
        <f>'Sales Data'!E21</f>
        <v/>
      </c>
      <c r="F21" s="7">
        <f>'Sales Data'!F21</f>
        <v/>
      </c>
      <c r="G21" s="7">
        <f>'Sales Data'!G21</f>
        <v/>
      </c>
      <c r="H21" s="5">
        <f>'Sales Data'!H21</f>
        <v/>
      </c>
      <c r="I21" s="9">
        <f>IFERROR(G21/F21,0)</f>
        <v/>
      </c>
      <c r="J21" s="5">
        <f>IF(F21&gt;5000,"High","Medium")</f>
        <v/>
      </c>
    </row>
    <row r="22">
      <c r="A22" s="2">
        <f>'Sales Data'!A22</f>
        <v/>
      </c>
      <c r="B22" s="3">
        <f>'Sales Data'!B22</f>
        <v/>
      </c>
      <c r="C22" s="2">
        <f>'Sales Data'!C22</f>
        <v/>
      </c>
      <c r="D22" s="2">
        <f>'Sales Data'!D22</f>
        <v/>
      </c>
      <c r="E22" s="2">
        <f>'Sales Data'!E22</f>
        <v/>
      </c>
      <c r="F22" s="4">
        <f>'Sales Data'!F22</f>
        <v/>
      </c>
      <c r="G22" s="4">
        <f>'Sales Data'!G22</f>
        <v/>
      </c>
      <c r="H22" s="2">
        <f>'Sales Data'!H22</f>
        <v/>
      </c>
      <c r="I22" s="8">
        <f>IFERROR(G22/F22,0)</f>
        <v/>
      </c>
      <c r="J22" s="2">
        <f>IF(F22&gt;5000,"High","Medium")</f>
        <v/>
      </c>
    </row>
    <row r="23">
      <c r="A23" s="5">
        <f>'Sales Data'!A23</f>
        <v/>
      </c>
      <c r="B23" s="6">
        <f>'Sales Data'!B23</f>
        <v/>
      </c>
      <c r="C23" s="5">
        <f>'Sales Data'!C23</f>
        <v/>
      </c>
      <c r="D23" s="5">
        <f>'Sales Data'!D23</f>
        <v/>
      </c>
      <c r="E23" s="5">
        <f>'Sales Data'!E23</f>
        <v/>
      </c>
      <c r="F23" s="7">
        <f>'Sales Data'!F23</f>
        <v/>
      </c>
      <c r="G23" s="7">
        <f>'Sales Data'!G23</f>
        <v/>
      </c>
      <c r="H23" s="5">
        <f>'Sales Data'!H23</f>
        <v/>
      </c>
      <c r="I23" s="9">
        <f>IFERROR(G23/F23,0)</f>
        <v/>
      </c>
      <c r="J23" s="5">
        <f>IF(F23&gt;5000,"High","Medium")</f>
        <v/>
      </c>
    </row>
    <row r="24">
      <c r="A24" s="2">
        <f>'Sales Data'!A24</f>
        <v/>
      </c>
      <c r="B24" s="3">
        <f>'Sales Data'!B24</f>
        <v/>
      </c>
      <c r="C24" s="2">
        <f>'Sales Data'!C24</f>
        <v/>
      </c>
      <c r="D24" s="2">
        <f>'Sales Data'!D24</f>
        <v/>
      </c>
      <c r="E24" s="2">
        <f>'Sales Data'!E24</f>
        <v/>
      </c>
      <c r="F24" s="4">
        <f>'Sales Data'!F24</f>
        <v/>
      </c>
      <c r="G24" s="4">
        <f>'Sales Data'!G24</f>
        <v/>
      </c>
      <c r="H24" s="2">
        <f>'Sales Data'!H24</f>
        <v/>
      </c>
      <c r="I24" s="8">
        <f>IFERROR(G24/F24,0)</f>
        <v/>
      </c>
      <c r="J24" s="2">
        <f>IF(F24&gt;5000,"High","Medium")</f>
        <v/>
      </c>
    </row>
    <row r="25">
      <c r="A25" s="5">
        <f>'Sales Data'!A25</f>
        <v/>
      </c>
      <c r="B25" s="6">
        <f>'Sales Data'!B25</f>
        <v/>
      </c>
      <c r="C25" s="5">
        <f>'Sales Data'!C25</f>
        <v/>
      </c>
      <c r="D25" s="5">
        <f>'Sales Data'!D25</f>
        <v/>
      </c>
      <c r="E25" s="5">
        <f>'Sales Data'!E25</f>
        <v/>
      </c>
      <c r="F25" s="7">
        <f>'Sales Data'!F25</f>
        <v/>
      </c>
      <c r="G25" s="7">
        <f>'Sales Data'!G25</f>
        <v/>
      </c>
      <c r="H25" s="5">
        <f>'Sales Data'!H25</f>
        <v/>
      </c>
      <c r="I25" s="9">
        <f>IFERROR(G25/F25,0)</f>
        <v/>
      </c>
      <c r="J25" s="5">
        <f>IF(F25&gt;5000,"High","Medium")</f>
        <v/>
      </c>
    </row>
    <row r="26">
      <c r="A26" s="2">
        <f>'Sales Data'!A26</f>
        <v/>
      </c>
      <c r="B26" s="3">
        <f>'Sales Data'!B26</f>
        <v/>
      </c>
      <c r="C26" s="2">
        <f>'Sales Data'!C26</f>
        <v/>
      </c>
      <c r="D26" s="2">
        <f>'Sales Data'!D26</f>
        <v/>
      </c>
      <c r="E26" s="2">
        <f>'Sales Data'!E26</f>
        <v/>
      </c>
      <c r="F26" s="4">
        <f>'Sales Data'!F26</f>
        <v/>
      </c>
      <c r="G26" s="4">
        <f>'Sales Data'!G26</f>
        <v/>
      </c>
      <c r="H26" s="2">
        <f>'Sales Data'!H26</f>
        <v/>
      </c>
      <c r="I26" s="8">
        <f>IFERROR(G26/F26,0)</f>
        <v/>
      </c>
      <c r="J26" s="2">
        <f>IF(F26&gt;5000,"High","Medium")</f>
        <v/>
      </c>
    </row>
    <row r="27">
      <c r="A27" s="5">
        <f>'Sales Data'!A27</f>
        <v/>
      </c>
      <c r="B27" s="6">
        <f>'Sales Data'!B27</f>
        <v/>
      </c>
      <c r="C27" s="5">
        <f>'Sales Data'!C27</f>
        <v/>
      </c>
      <c r="D27" s="5">
        <f>'Sales Data'!D27</f>
        <v/>
      </c>
      <c r="E27" s="5">
        <f>'Sales Data'!E27</f>
        <v/>
      </c>
      <c r="F27" s="7">
        <f>'Sales Data'!F27</f>
        <v/>
      </c>
      <c r="G27" s="7">
        <f>'Sales Data'!G27</f>
        <v/>
      </c>
      <c r="H27" s="5">
        <f>'Sales Data'!H27</f>
        <v/>
      </c>
      <c r="I27" s="9">
        <f>IFERROR(G27/F27,0)</f>
        <v/>
      </c>
      <c r="J27" s="5">
        <f>IF(F27&gt;5000,"High","Medium")</f>
        <v/>
      </c>
    </row>
    <row r="28">
      <c r="A28" s="2">
        <f>'Sales Data'!A28</f>
        <v/>
      </c>
      <c r="B28" s="3">
        <f>'Sales Data'!B28</f>
        <v/>
      </c>
      <c r="C28" s="2">
        <f>'Sales Data'!C28</f>
        <v/>
      </c>
      <c r="D28" s="2">
        <f>'Sales Data'!D28</f>
        <v/>
      </c>
      <c r="E28" s="2">
        <f>'Sales Data'!E28</f>
        <v/>
      </c>
      <c r="F28" s="4">
        <f>'Sales Data'!F28</f>
        <v/>
      </c>
      <c r="G28" s="4">
        <f>'Sales Data'!G28</f>
        <v/>
      </c>
      <c r="H28" s="2">
        <f>'Sales Data'!H28</f>
        <v/>
      </c>
      <c r="I28" s="8">
        <f>IFERROR(G28/F28,0)</f>
        <v/>
      </c>
      <c r="J28" s="2">
        <f>IF(F28&gt;5000,"High","Medium")</f>
        <v/>
      </c>
    </row>
    <row r="29">
      <c r="A29" s="5">
        <f>'Sales Data'!A29</f>
        <v/>
      </c>
      <c r="B29" s="6">
        <f>'Sales Data'!B29</f>
        <v/>
      </c>
      <c r="C29" s="5">
        <f>'Sales Data'!C29</f>
        <v/>
      </c>
      <c r="D29" s="5">
        <f>'Sales Data'!D29</f>
        <v/>
      </c>
      <c r="E29" s="5">
        <f>'Sales Data'!E29</f>
        <v/>
      </c>
      <c r="F29" s="7">
        <f>'Sales Data'!F29</f>
        <v/>
      </c>
      <c r="G29" s="7">
        <f>'Sales Data'!G29</f>
        <v/>
      </c>
      <c r="H29" s="5">
        <f>'Sales Data'!H29</f>
        <v/>
      </c>
      <c r="I29" s="9">
        <f>IFERROR(G29/F29,0)</f>
        <v/>
      </c>
      <c r="J29" s="5">
        <f>IF(F29&gt;5000,"High","Medium")</f>
        <v/>
      </c>
    </row>
    <row r="30">
      <c r="A30" s="2">
        <f>'Sales Data'!A30</f>
        <v/>
      </c>
      <c r="B30" s="3">
        <f>'Sales Data'!B30</f>
        <v/>
      </c>
      <c r="C30" s="2">
        <f>'Sales Data'!C30</f>
        <v/>
      </c>
      <c r="D30" s="2">
        <f>'Sales Data'!D30</f>
        <v/>
      </c>
      <c r="E30" s="2">
        <f>'Sales Data'!E30</f>
        <v/>
      </c>
      <c r="F30" s="4">
        <f>'Sales Data'!F30</f>
        <v/>
      </c>
      <c r="G30" s="4">
        <f>'Sales Data'!G30</f>
        <v/>
      </c>
      <c r="H30" s="2">
        <f>'Sales Data'!H30</f>
        <v/>
      </c>
      <c r="I30" s="8">
        <f>IFERROR(G30/F30,0)</f>
        <v/>
      </c>
      <c r="J30" s="2">
        <f>IF(F30&gt;5000,"High","Medium")</f>
        <v/>
      </c>
    </row>
    <row r="31">
      <c r="A31" s="5">
        <f>'Sales Data'!A31</f>
        <v/>
      </c>
      <c r="B31" s="6">
        <f>'Sales Data'!B31</f>
        <v/>
      </c>
      <c r="C31" s="5">
        <f>'Sales Data'!C31</f>
        <v/>
      </c>
      <c r="D31" s="5">
        <f>'Sales Data'!D31</f>
        <v/>
      </c>
      <c r="E31" s="5">
        <f>'Sales Data'!E31</f>
        <v/>
      </c>
      <c r="F31" s="7">
        <f>'Sales Data'!F31</f>
        <v/>
      </c>
      <c r="G31" s="7">
        <f>'Sales Data'!G31</f>
        <v/>
      </c>
      <c r="H31" s="5">
        <f>'Sales Data'!H31</f>
        <v/>
      </c>
      <c r="I31" s="9">
        <f>IFERROR(G31/F31,0)</f>
        <v/>
      </c>
      <c r="J31" s="5">
        <f>IF(F31&gt;5000,"High","Medium")</f>
        <v/>
      </c>
    </row>
    <row r="32">
      <c r="A32" s="2">
        <f>'Sales Data'!A32</f>
        <v/>
      </c>
      <c r="B32" s="3">
        <f>'Sales Data'!B32</f>
        <v/>
      </c>
      <c r="C32" s="2">
        <f>'Sales Data'!C32</f>
        <v/>
      </c>
      <c r="D32" s="2">
        <f>'Sales Data'!D32</f>
        <v/>
      </c>
      <c r="E32" s="2">
        <f>'Sales Data'!E32</f>
        <v/>
      </c>
      <c r="F32" s="4">
        <f>'Sales Data'!F32</f>
        <v/>
      </c>
      <c r="G32" s="4">
        <f>'Sales Data'!G32</f>
        <v/>
      </c>
      <c r="H32" s="2">
        <f>'Sales Data'!H32</f>
        <v/>
      </c>
      <c r="I32" s="8">
        <f>IFERROR(G32/F32,0)</f>
        <v/>
      </c>
      <c r="J32" s="2">
        <f>IF(F32&gt;5000,"High","Medium")</f>
        <v/>
      </c>
    </row>
    <row r="33">
      <c r="A33" s="5">
        <f>'Sales Data'!A33</f>
        <v/>
      </c>
      <c r="B33" s="6">
        <f>'Sales Data'!B33</f>
        <v/>
      </c>
      <c r="C33" s="5">
        <f>'Sales Data'!C33</f>
        <v/>
      </c>
      <c r="D33" s="5">
        <f>'Sales Data'!D33</f>
        <v/>
      </c>
      <c r="E33" s="5">
        <f>'Sales Data'!E33</f>
        <v/>
      </c>
      <c r="F33" s="7">
        <f>'Sales Data'!F33</f>
        <v/>
      </c>
      <c r="G33" s="7">
        <f>'Sales Data'!G33</f>
        <v/>
      </c>
      <c r="H33" s="5">
        <f>'Sales Data'!H33</f>
        <v/>
      </c>
      <c r="I33" s="9">
        <f>IFERROR(G33/F33,0)</f>
        <v/>
      </c>
      <c r="J33" s="5">
        <f>IF(F33&gt;5000,"High","Medium")</f>
        <v/>
      </c>
    </row>
    <row r="34">
      <c r="A34" s="2">
        <f>'Sales Data'!A34</f>
        <v/>
      </c>
      <c r="B34" s="3">
        <f>'Sales Data'!B34</f>
        <v/>
      </c>
      <c r="C34" s="2">
        <f>'Sales Data'!C34</f>
        <v/>
      </c>
      <c r="D34" s="2">
        <f>'Sales Data'!D34</f>
        <v/>
      </c>
      <c r="E34" s="2">
        <f>'Sales Data'!E34</f>
        <v/>
      </c>
      <c r="F34" s="4">
        <f>'Sales Data'!F34</f>
        <v/>
      </c>
      <c r="G34" s="4">
        <f>'Sales Data'!G34</f>
        <v/>
      </c>
      <c r="H34" s="2">
        <f>'Sales Data'!H34</f>
        <v/>
      </c>
      <c r="I34" s="8">
        <f>IFERROR(G34/F34,0)</f>
        <v/>
      </c>
      <c r="J34" s="2">
        <f>IF(F34&gt;5000,"High","Medium")</f>
        <v/>
      </c>
    </row>
    <row r="35">
      <c r="A35" s="5">
        <f>'Sales Data'!A35</f>
        <v/>
      </c>
      <c r="B35" s="6">
        <f>'Sales Data'!B35</f>
        <v/>
      </c>
      <c r="C35" s="5">
        <f>'Sales Data'!C35</f>
        <v/>
      </c>
      <c r="D35" s="5">
        <f>'Sales Data'!D35</f>
        <v/>
      </c>
      <c r="E35" s="5">
        <f>'Sales Data'!E35</f>
        <v/>
      </c>
      <c r="F35" s="7">
        <f>'Sales Data'!F35</f>
        <v/>
      </c>
      <c r="G35" s="7">
        <f>'Sales Data'!G35</f>
        <v/>
      </c>
      <c r="H35" s="5">
        <f>'Sales Data'!H35</f>
        <v/>
      </c>
      <c r="I35" s="9">
        <f>IFERROR(G35/F35,0)</f>
        <v/>
      </c>
      <c r="J35" s="5">
        <f>IF(F35&gt;5000,"High","Medium")</f>
        <v/>
      </c>
    </row>
    <row r="36">
      <c r="A36" s="2">
        <f>'Sales Data'!A36</f>
        <v/>
      </c>
      <c r="B36" s="3">
        <f>'Sales Data'!B36</f>
        <v/>
      </c>
      <c r="C36" s="2">
        <f>'Sales Data'!C36</f>
        <v/>
      </c>
      <c r="D36" s="2">
        <f>'Sales Data'!D36</f>
        <v/>
      </c>
      <c r="E36" s="2">
        <f>'Sales Data'!E36</f>
        <v/>
      </c>
      <c r="F36" s="4">
        <f>'Sales Data'!F36</f>
        <v/>
      </c>
      <c r="G36" s="4">
        <f>'Sales Data'!G36</f>
        <v/>
      </c>
      <c r="H36" s="2">
        <f>'Sales Data'!H36</f>
        <v/>
      </c>
      <c r="I36" s="8">
        <f>IFERROR(G36/F36,0)</f>
        <v/>
      </c>
      <c r="J36" s="2">
        <f>IF(F36&gt;5000,"High","Medium")</f>
        <v/>
      </c>
    </row>
    <row r="37">
      <c r="A37" s="5">
        <f>'Sales Data'!A37</f>
        <v/>
      </c>
      <c r="B37" s="6">
        <f>'Sales Data'!B37</f>
        <v/>
      </c>
      <c r="C37" s="5">
        <f>'Sales Data'!C37</f>
        <v/>
      </c>
      <c r="D37" s="5">
        <f>'Sales Data'!D37</f>
        <v/>
      </c>
      <c r="E37" s="5">
        <f>'Sales Data'!E37</f>
        <v/>
      </c>
      <c r="F37" s="7">
        <f>'Sales Data'!F37</f>
        <v/>
      </c>
      <c r="G37" s="7">
        <f>'Sales Data'!G37</f>
        <v/>
      </c>
      <c r="H37" s="5">
        <f>'Sales Data'!H37</f>
        <v/>
      </c>
      <c r="I37" s="9">
        <f>IFERROR(G37/F37,0)</f>
        <v/>
      </c>
      <c r="J37" s="5">
        <f>IF(F37&gt;5000,"High","Medium")</f>
        <v/>
      </c>
    </row>
    <row r="38">
      <c r="A38" s="2">
        <f>'Sales Data'!A38</f>
        <v/>
      </c>
      <c r="B38" s="3">
        <f>'Sales Data'!B38</f>
        <v/>
      </c>
      <c r="C38" s="2">
        <f>'Sales Data'!C38</f>
        <v/>
      </c>
      <c r="D38" s="2">
        <f>'Sales Data'!D38</f>
        <v/>
      </c>
      <c r="E38" s="2">
        <f>'Sales Data'!E38</f>
        <v/>
      </c>
      <c r="F38" s="4">
        <f>'Sales Data'!F38</f>
        <v/>
      </c>
      <c r="G38" s="4">
        <f>'Sales Data'!G38</f>
        <v/>
      </c>
      <c r="H38" s="2">
        <f>'Sales Data'!H38</f>
        <v/>
      </c>
      <c r="I38" s="8">
        <f>IFERROR(G38/F38,0)</f>
        <v/>
      </c>
      <c r="J38" s="2">
        <f>IF(F38&gt;5000,"High","Medium")</f>
        <v/>
      </c>
    </row>
    <row r="39">
      <c r="A39" s="5">
        <f>'Sales Data'!A39</f>
        <v/>
      </c>
      <c r="B39" s="6">
        <f>'Sales Data'!B39</f>
        <v/>
      </c>
      <c r="C39" s="5">
        <f>'Sales Data'!C39</f>
        <v/>
      </c>
      <c r="D39" s="5">
        <f>'Sales Data'!D39</f>
        <v/>
      </c>
      <c r="E39" s="5">
        <f>'Sales Data'!E39</f>
        <v/>
      </c>
      <c r="F39" s="7">
        <f>'Sales Data'!F39</f>
        <v/>
      </c>
      <c r="G39" s="7">
        <f>'Sales Data'!G39</f>
        <v/>
      </c>
      <c r="H39" s="5">
        <f>'Sales Data'!H39</f>
        <v/>
      </c>
      <c r="I39" s="9">
        <f>IFERROR(G39/F39,0)</f>
        <v/>
      </c>
      <c r="J39" s="5">
        <f>IF(F39&gt;5000,"High","Medium")</f>
        <v/>
      </c>
    </row>
    <row r="40">
      <c r="A40" s="2">
        <f>'Sales Data'!A40</f>
        <v/>
      </c>
      <c r="B40" s="3">
        <f>'Sales Data'!B40</f>
        <v/>
      </c>
      <c r="C40" s="2">
        <f>'Sales Data'!C40</f>
        <v/>
      </c>
      <c r="D40" s="2">
        <f>'Sales Data'!D40</f>
        <v/>
      </c>
      <c r="E40" s="2">
        <f>'Sales Data'!E40</f>
        <v/>
      </c>
      <c r="F40" s="4">
        <f>'Sales Data'!F40</f>
        <v/>
      </c>
      <c r="G40" s="4">
        <f>'Sales Data'!G40</f>
        <v/>
      </c>
      <c r="H40" s="2">
        <f>'Sales Data'!H40</f>
        <v/>
      </c>
      <c r="I40" s="8">
        <f>IFERROR(G40/F40,0)</f>
        <v/>
      </c>
      <c r="J40" s="2">
        <f>IF(F40&gt;5000,"High","Medium")</f>
        <v/>
      </c>
    </row>
    <row r="41">
      <c r="A41" s="5">
        <f>'Sales Data'!A41</f>
        <v/>
      </c>
      <c r="B41" s="6">
        <f>'Sales Data'!B41</f>
        <v/>
      </c>
      <c r="C41" s="5">
        <f>'Sales Data'!C41</f>
        <v/>
      </c>
      <c r="D41" s="5">
        <f>'Sales Data'!D41</f>
        <v/>
      </c>
      <c r="E41" s="5">
        <f>'Sales Data'!E41</f>
        <v/>
      </c>
      <c r="F41" s="7">
        <f>'Sales Data'!F41</f>
        <v/>
      </c>
      <c r="G41" s="7">
        <f>'Sales Data'!G41</f>
        <v/>
      </c>
      <c r="H41" s="5">
        <f>'Sales Data'!H41</f>
        <v/>
      </c>
      <c r="I41" s="9">
        <f>IFERROR(G41/F41,0)</f>
        <v/>
      </c>
      <c r="J41" s="5">
        <f>IF(F41&gt;5000,"High","Medium")</f>
        <v/>
      </c>
    </row>
    <row r="42">
      <c r="A42" s="2">
        <f>'Sales Data'!A42</f>
        <v/>
      </c>
      <c r="B42" s="3">
        <f>'Sales Data'!B42</f>
        <v/>
      </c>
      <c r="C42" s="2">
        <f>'Sales Data'!C42</f>
        <v/>
      </c>
      <c r="D42" s="2">
        <f>'Sales Data'!D42</f>
        <v/>
      </c>
      <c r="E42" s="2">
        <f>'Sales Data'!E42</f>
        <v/>
      </c>
      <c r="F42" s="4">
        <f>'Sales Data'!F42</f>
        <v/>
      </c>
      <c r="G42" s="4">
        <f>'Sales Data'!G42</f>
        <v/>
      </c>
      <c r="H42" s="2">
        <f>'Sales Data'!H42</f>
        <v/>
      </c>
      <c r="I42" s="8">
        <f>IFERROR(G42/F42,0)</f>
        <v/>
      </c>
      <c r="J42" s="2">
        <f>IF(F42&gt;5000,"High","Medium")</f>
        <v/>
      </c>
    </row>
    <row r="43">
      <c r="A43" s="5">
        <f>'Sales Data'!A43</f>
        <v/>
      </c>
      <c r="B43" s="6">
        <f>'Sales Data'!B43</f>
        <v/>
      </c>
      <c r="C43" s="5">
        <f>'Sales Data'!C43</f>
        <v/>
      </c>
      <c r="D43" s="5">
        <f>'Sales Data'!D43</f>
        <v/>
      </c>
      <c r="E43" s="5">
        <f>'Sales Data'!E43</f>
        <v/>
      </c>
      <c r="F43" s="7">
        <f>'Sales Data'!F43</f>
        <v/>
      </c>
      <c r="G43" s="7">
        <f>'Sales Data'!G43</f>
        <v/>
      </c>
      <c r="H43" s="5">
        <f>'Sales Data'!H43</f>
        <v/>
      </c>
      <c r="I43" s="9">
        <f>IFERROR(G43/F43,0)</f>
        <v/>
      </c>
      <c r="J43" s="5">
        <f>IF(F43&gt;5000,"High","Medium")</f>
        <v/>
      </c>
    </row>
    <row r="44">
      <c r="A44" s="2">
        <f>'Sales Data'!A44</f>
        <v/>
      </c>
      <c r="B44" s="3">
        <f>'Sales Data'!B44</f>
        <v/>
      </c>
      <c r="C44" s="2">
        <f>'Sales Data'!C44</f>
        <v/>
      </c>
      <c r="D44" s="2">
        <f>'Sales Data'!D44</f>
        <v/>
      </c>
      <c r="E44" s="2">
        <f>'Sales Data'!E44</f>
        <v/>
      </c>
      <c r="F44" s="4">
        <f>'Sales Data'!F44</f>
        <v/>
      </c>
      <c r="G44" s="4">
        <f>'Sales Data'!G44</f>
        <v/>
      </c>
      <c r="H44" s="2">
        <f>'Sales Data'!H44</f>
        <v/>
      </c>
      <c r="I44" s="8">
        <f>IFERROR(G44/F44,0)</f>
        <v/>
      </c>
      <c r="J44" s="2">
        <f>IF(F44&gt;5000,"High","Medium")</f>
        <v/>
      </c>
    </row>
    <row r="45">
      <c r="A45" s="5">
        <f>'Sales Data'!A45</f>
        <v/>
      </c>
      <c r="B45" s="6">
        <f>'Sales Data'!B45</f>
        <v/>
      </c>
      <c r="C45" s="5">
        <f>'Sales Data'!C45</f>
        <v/>
      </c>
      <c r="D45" s="5">
        <f>'Sales Data'!D45</f>
        <v/>
      </c>
      <c r="E45" s="5">
        <f>'Sales Data'!E45</f>
        <v/>
      </c>
      <c r="F45" s="7">
        <f>'Sales Data'!F45</f>
        <v/>
      </c>
      <c r="G45" s="7">
        <f>'Sales Data'!G45</f>
        <v/>
      </c>
      <c r="H45" s="5">
        <f>'Sales Data'!H45</f>
        <v/>
      </c>
      <c r="I45" s="9">
        <f>IFERROR(G45/F45,0)</f>
        <v/>
      </c>
      <c r="J45" s="5">
        <f>IF(F45&gt;5000,"High","Medium")</f>
        <v/>
      </c>
    </row>
    <row r="46">
      <c r="A46" s="2">
        <f>'Sales Data'!A46</f>
        <v/>
      </c>
      <c r="B46" s="3">
        <f>'Sales Data'!B46</f>
        <v/>
      </c>
      <c r="C46" s="2">
        <f>'Sales Data'!C46</f>
        <v/>
      </c>
      <c r="D46" s="2">
        <f>'Sales Data'!D46</f>
        <v/>
      </c>
      <c r="E46" s="2">
        <f>'Sales Data'!E46</f>
        <v/>
      </c>
      <c r="F46" s="4">
        <f>'Sales Data'!F46</f>
        <v/>
      </c>
      <c r="G46" s="4">
        <f>'Sales Data'!G46</f>
        <v/>
      </c>
      <c r="H46" s="2">
        <f>'Sales Data'!H46</f>
        <v/>
      </c>
      <c r="I46" s="8">
        <f>IFERROR(G46/F46,0)</f>
        <v/>
      </c>
      <c r="J46" s="2">
        <f>IF(F46&gt;5000,"High","Medium")</f>
        <v/>
      </c>
    </row>
    <row r="47">
      <c r="A47" s="5">
        <f>'Sales Data'!A47</f>
        <v/>
      </c>
      <c r="B47" s="6">
        <f>'Sales Data'!B47</f>
        <v/>
      </c>
      <c r="C47" s="5">
        <f>'Sales Data'!C47</f>
        <v/>
      </c>
      <c r="D47" s="5">
        <f>'Sales Data'!D47</f>
        <v/>
      </c>
      <c r="E47" s="5">
        <f>'Sales Data'!E47</f>
        <v/>
      </c>
      <c r="F47" s="7">
        <f>'Sales Data'!F47</f>
        <v/>
      </c>
      <c r="G47" s="7">
        <f>'Sales Data'!G47</f>
        <v/>
      </c>
      <c r="H47" s="5">
        <f>'Sales Data'!H47</f>
        <v/>
      </c>
      <c r="I47" s="9">
        <f>IFERROR(G47/F47,0)</f>
        <v/>
      </c>
      <c r="J47" s="5">
        <f>IF(F47&gt;5000,"High","Medium")</f>
        <v/>
      </c>
    </row>
    <row r="48">
      <c r="A48" s="2">
        <f>'Sales Data'!A48</f>
        <v/>
      </c>
      <c r="B48" s="3">
        <f>'Sales Data'!B48</f>
        <v/>
      </c>
      <c r="C48" s="2">
        <f>'Sales Data'!C48</f>
        <v/>
      </c>
      <c r="D48" s="2">
        <f>'Sales Data'!D48</f>
        <v/>
      </c>
      <c r="E48" s="2">
        <f>'Sales Data'!E48</f>
        <v/>
      </c>
      <c r="F48" s="4">
        <f>'Sales Data'!F48</f>
        <v/>
      </c>
      <c r="G48" s="4">
        <f>'Sales Data'!G48</f>
        <v/>
      </c>
      <c r="H48" s="2">
        <f>'Sales Data'!H48</f>
        <v/>
      </c>
      <c r="I48" s="8">
        <f>IFERROR(G48/F48,0)</f>
        <v/>
      </c>
      <c r="J48" s="2">
        <f>IF(F48&gt;5000,"High","Medium")</f>
        <v/>
      </c>
    </row>
    <row r="49">
      <c r="A49" s="5">
        <f>'Sales Data'!A49</f>
        <v/>
      </c>
      <c r="B49" s="6">
        <f>'Sales Data'!B49</f>
        <v/>
      </c>
      <c r="C49" s="5">
        <f>'Sales Data'!C49</f>
        <v/>
      </c>
      <c r="D49" s="5">
        <f>'Sales Data'!D49</f>
        <v/>
      </c>
      <c r="E49" s="5">
        <f>'Sales Data'!E49</f>
        <v/>
      </c>
      <c r="F49" s="7">
        <f>'Sales Data'!F49</f>
        <v/>
      </c>
      <c r="G49" s="7">
        <f>'Sales Data'!G49</f>
        <v/>
      </c>
      <c r="H49" s="5">
        <f>'Sales Data'!H49</f>
        <v/>
      </c>
      <c r="I49" s="9">
        <f>IFERROR(G49/F49,0)</f>
        <v/>
      </c>
      <c r="J49" s="5">
        <f>IF(F49&gt;5000,"High","Medium")</f>
        <v/>
      </c>
    </row>
    <row r="50">
      <c r="A50" s="2">
        <f>'Sales Data'!A50</f>
        <v/>
      </c>
      <c r="B50" s="3">
        <f>'Sales Data'!B50</f>
        <v/>
      </c>
      <c r="C50" s="2">
        <f>'Sales Data'!C50</f>
        <v/>
      </c>
      <c r="D50" s="2">
        <f>'Sales Data'!D50</f>
        <v/>
      </c>
      <c r="E50" s="2">
        <f>'Sales Data'!E50</f>
        <v/>
      </c>
      <c r="F50" s="4">
        <f>'Sales Data'!F50</f>
        <v/>
      </c>
      <c r="G50" s="4">
        <f>'Sales Data'!G50</f>
        <v/>
      </c>
      <c r="H50" s="2">
        <f>'Sales Data'!H50</f>
        <v/>
      </c>
      <c r="I50" s="8">
        <f>IFERROR(G50/F50,0)</f>
        <v/>
      </c>
      <c r="J50" s="2">
        <f>IF(F50&gt;5000,"High","Medium")</f>
        <v/>
      </c>
    </row>
    <row r="51">
      <c r="A51" s="5">
        <f>'Sales Data'!A51</f>
        <v/>
      </c>
      <c r="B51" s="6">
        <f>'Sales Data'!B51</f>
        <v/>
      </c>
      <c r="C51" s="5">
        <f>'Sales Data'!C51</f>
        <v/>
      </c>
      <c r="D51" s="5">
        <f>'Sales Data'!D51</f>
        <v/>
      </c>
      <c r="E51" s="5">
        <f>'Sales Data'!E51</f>
        <v/>
      </c>
      <c r="F51" s="7">
        <f>'Sales Data'!F51</f>
        <v/>
      </c>
      <c r="G51" s="7">
        <f>'Sales Data'!G51</f>
        <v/>
      </c>
      <c r="H51" s="5">
        <f>'Sales Data'!H51</f>
        <v/>
      </c>
      <c r="I51" s="9">
        <f>IFERROR(G51/F51,0)</f>
        <v/>
      </c>
      <c r="J51" s="5">
        <f>IF(F51&gt;5000,"High","Medium")</f>
        <v/>
      </c>
    </row>
    <row r="52">
      <c r="A52" s="2">
        <f>'Sales Data'!A52</f>
        <v/>
      </c>
      <c r="B52" s="3">
        <f>'Sales Data'!B52</f>
        <v/>
      </c>
      <c r="C52" s="2">
        <f>'Sales Data'!C52</f>
        <v/>
      </c>
      <c r="D52" s="2">
        <f>'Sales Data'!D52</f>
        <v/>
      </c>
      <c r="E52" s="2">
        <f>'Sales Data'!E52</f>
        <v/>
      </c>
      <c r="F52" s="4">
        <f>'Sales Data'!F52</f>
        <v/>
      </c>
      <c r="G52" s="4">
        <f>'Sales Data'!G52</f>
        <v/>
      </c>
      <c r="H52" s="2">
        <f>'Sales Data'!H52</f>
        <v/>
      </c>
      <c r="I52" s="8">
        <f>IFERROR(G52/F52,0)</f>
        <v/>
      </c>
      <c r="J52" s="2">
        <f>IF(F52&gt;5000,"High","Medium")</f>
        <v/>
      </c>
    </row>
    <row r="53">
      <c r="A53" s="5">
        <f>'Sales Data'!A53</f>
        <v/>
      </c>
      <c r="B53" s="6">
        <f>'Sales Data'!B53</f>
        <v/>
      </c>
      <c r="C53" s="5">
        <f>'Sales Data'!C53</f>
        <v/>
      </c>
      <c r="D53" s="5">
        <f>'Sales Data'!D53</f>
        <v/>
      </c>
      <c r="E53" s="5">
        <f>'Sales Data'!E53</f>
        <v/>
      </c>
      <c r="F53" s="7">
        <f>'Sales Data'!F53</f>
        <v/>
      </c>
      <c r="G53" s="7">
        <f>'Sales Data'!G53</f>
        <v/>
      </c>
      <c r="H53" s="5">
        <f>'Sales Data'!H53</f>
        <v/>
      </c>
      <c r="I53" s="9">
        <f>IFERROR(G53/F53,0)</f>
        <v/>
      </c>
      <c r="J53" s="5">
        <f>IF(F53&gt;5000,"High","Medium")</f>
        <v/>
      </c>
    </row>
    <row r="54">
      <c r="A54" s="2">
        <f>'Sales Data'!A54</f>
        <v/>
      </c>
      <c r="B54" s="3">
        <f>'Sales Data'!B54</f>
        <v/>
      </c>
      <c r="C54" s="2">
        <f>'Sales Data'!C54</f>
        <v/>
      </c>
      <c r="D54" s="2">
        <f>'Sales Data'!D54</f>
        <v/>
      </c>
      <c r="E54" s="2">
        <f>'Sales Data'!E54</f>
        <v/>
      </c>
      <c r="F54" s="4">
        <f>'Sales Data'!F54</f>
        <v/>
      </c>
      <c r="G54" s="4">
        <f>'Sales Data'!G54</f>
        <v/>
      </c>
      <c r="H54" s="2">
        <f>'Sales Data'!H54</f>
        <v/>
      </c>
      <c r="I54" s="8">
        <f>IFERROR(G54/F54,0)</f>
        <v/>
      </c>
      <c r="J54" s="2">
        <f>IF(F54&gt;5000,"High","Medium")</f>
        <v/>
      </c>
    </row>
    <row r="55">
      <c r="A55" s="5">
        <f>'Sales Data'!A55</f>
        <v/>
      </c>
      <c r="B55" s="6">
        <f>'Sales Data'!B55</f>
        <v/>
      </c>
      <c r="C55" s="5">
        <f>'Sales Data'!C55</f>
        <v/>
      </c>
      <c r="D55" s="5">
        <f>'Sales Data'!D55</f>
        <v/>
      </c>
      <c r="E55" s="5">
        <f>'Sales Data'!E55</f>
        <v/>
      </c>
      <c r="F55" s="7">
        <f>'Sales Data'!F55</f>
        <v/>
      </c>
      <c r="G55" s="7">
        <f>'Sales Data'!G55</f>
        <v/>
      </c>
      <c r="H55" s="5">
        <f>'Sales Data'!H55</f>
        <v/>
      </c>
      <c r="I55" s="9">
        <f>IFERROR(G55/F55,0)</f>
        <v/>
      </c>
      <c r="J55" s="5">
        <f>IF(F55&gt;5000,"High","Medium")</f>
        <v/>
      </c>
    </row>
    <row r="56">
      <c r="A56" s="2">
        <f>'Sales Data'!A56</f>
        <v/>
      </c>
      <c r="B56" s="3">
        <f>'Sales Data'!B56</f>
        <v/>
      </c>
      <c r="C56" s="2">
        <f>'Sales Data'!C56</f>
        <v/>
      </c>
      <c r="D56" s="2">
        <f>'Sales Data'!D56</f>
        <v/>
      </c>
      <c r="E56" s="2">
        <f>'Sales Data'!E56</f>
        <v/>
      </c>
      <c r="F56" s="4">
        <f>'Sales Data'!F56</f>
        <v/>
      </c>
      <c r="G56" s="4">
        <f>'Sales Data'!G56</f>
        <v/>
      </c>
      <c r="H56" s="2">
        <f>'Sales Data'!H56</f>
        <v/>
      </c>
      <c r="I56" s="8">
        <f>IFERROR(G56/F56,0)</f>
        <v/>
      </c>
      <c r="J56" s="2">
        <f>IF(F56&gt;5000,"High","Medium")</f>
        <v/>
      </c>
    </row>
    <row r="57">
      <c r="A57" s="5">
        <f>'Sales Data'!A57</f>
        <v/>
      </c>
      <c r="B57" s="6">
        <f>'Sales Data'!B57</f>
        <v/>
      </c>
      <c r="C57" s="5">
        <f>'Sales Data'!C57</f>
        <v/>
      </c>
      <c r="D57" s="5">
        <f>'Sales Data'!D57</f>
        <v/>
      </c>
      <c r="E57" s="5">
        <f>'Sales Data'!E57</f>
        <v/>
      </c>
      <c r="F57" s="7">
        <f>'Sales Data'!F57</f>
        <v/>
      </c>
      <c r="G57" s="7">
        <f>'Sales Data'!G57</f>
        <v/>
      </c>
      <c r="H57" s="5">
        <f>'Sales Data'!H57</f>
        <v/>
      </c>
      <c r="I57" s="9">
        <f>IFERROR(G57/F57,0)</f>
        <v/>
      </c>
      <c r="J57" s="5">
        <f>IF(F57&gt;5000,"High","Medium")</f>
        <v/>
      </c>
    </row>
    <row r="58">
      <c r="A58" s="2">
        <f>'Sales Data'!A58</f>
        <v/>
      </c>
      <c r="B58" s="3">
        <f>'Sales Data'!B58</f>
        <v/>
      </c>
      <c r="C58" s="2">
        <f>'Sales Data'!C58</f>
        <v/>
      </c>
      <c r="D58" s="2">
        <f>'Sales Data'!D58</f>
        <v/>
      </c>
      <c r="E58" s="2">
        <f>'Sales Data'!E58</f>
        <v/>
      </c>
      <c r="F58" s="4">
        <f>'Sales Data'!F58</f>
        <v/>
      </c>
      <c r="G58" s="4">
        <f>'Sales Data'!G58</f>
        <v/>
      </c>
      <c r="H58" s="2">
        <f>'Sales Data'!H58</f>
        <v/>
      </c>
      <c r="I58" s="8">
        <f>IFERROR(G58/F58,0)</f>
        <v/>
      </c>
      <c r="J58" s="2">
        <f>IF(F58&gt;5000,"High","Medium")</f>
        <v/>
      </c>
    </row>
    <row r="59">
      <c r="A59" s="5">
        <f>'Sales Data'!A59</f>
        <v/>
      </c>
      <c r="B59" s="6">
        <f>'Sales Data'!B59</f>
        <v/>
      </c>
      <c r="C59" s="5">
        <f>'Sales Data'!C59</f>
        <v/>
      </c>
      <c r="D59" s="5">
        <f>'Sales Data'!D59</f>
        <v/>
      </c>
      <c r="E59" s="5">
        <f>'Sales Data'!E59</f>
        <v/>
      </c>
      <c r="F59" s="7">
        <f>'Sales Data'!F59</f>
        <v/>
      </c>
      <c r="G59" s="7">
        <f>'Sales Data'!G59</f>
        <v/>
      </c>
      <c r="H59" s="5">
        <f>'Sales Data'!H59</f>
        <v/>
      </c>
      <c r="I59" s="9">
        <f>IFERROR(G59/F59,0)</f>
        <v/>
      </c>
      <c r="J59" s="5">
        <f>IF(F59&gt;5000,"High","Medium")</f>
        <v/>
      </c>
    </row>
    <row r="60">
      <c r="A60" s="2">
        <f>'Sales Data'!A60</f>
        <v/>
      </c>
      <c r="B60" s="3">
        <f>'Sales Data'!B60</f>
        <v/>
      </c>
      <c r="C60" s="2">
        <f>'Sales Data'!C60</f>
        <v/>
      </c>
      <c r="D60" s="2">
        <f>'Sales Data'!D60</f>
        <v/>
      </c>
      <c r="E60" s="2">
        <f>'Sales Data'!E60</f>
        <v/>
      </c>
      <c r="F60" s="4">
        <f>'Sales Data'!F60</f>
        <v/>
      </c>
      <c r="G60" s="4">
        <f>'Sales Data'!G60</f>
        <v/>
      </c>
      <c r="H60" s="2">
        <f>'Sales Data'!H60</f>
        <v/>
      </c>
      <c r="I60" s="8">
        <f>IFERROR(G60/F60,0)</f>
        <v/>
      </c>
      <c r="J60" s="2">
        <f>IF(F60&gt;5000,"High","Medium")</f>
        <v/>
      </c>
    </row>
    <row r="61">
      <c r="A61" s="5">
        <f>'Sales Data'!A61</f>
        <v/>
      </c>
      <c r="B61" s="6">
        <f>'Sales Data'!B61</f>
        <v/>
      </c>
      <c r="C61" s="5">
        <f>'Sales Data'!C61</f>
        <v/>
      </c>
      <c r="D61" s="5">
        <f>'Sales Data'!D61</f>
        <v/>
      </c>
      <c r="E61" s="5">
        <f>'Sales Data'!E61</f>
        <v/>
      </c>
      <c r="F61" s="7">
        <f>'Sales Data'!F61</f>
        <v/>
      </c>
      <c r="G61" s="7">
        <f>'Sales Data'!G61</f>
        <v/>
      </c>
      <c r="H61" s="5">
        <f>'Sales Data'!H61</f>
        <v/>
      </c>
      <c r="I61" s="9">
        <f>IFERROR(G61/F61,0)</f>
        <v/>
      </c>
      <c r="J61" s="5">
        <f>IF(F61&gt;5000,"High","Medium")</f>
        <v/>
      </c>
    </row>
    <row r="62">
      <c r="A62" s="2">
        <f>'Sales Data'!A62</f>
        <v/>
      </c>
      <c r="B62" s="3">
        <f>'Sales Data'!B62</f>
        <v/>
      </c>
      <c r="C62" s="2">
        <f>'Sales Data'!C62</f>
        <v/>
      </c>
      <c r="D62" s="2">
        <f>'Sales Data'!D62</f>
        <v/>
      </c>
      <c r="E62" s="2">
        <f>'Sales Data'!E62</f>
        <v/>
      </c>
      <c r="F62" s="4">
        <f>'Sales Data'!F62</f>
        <v/>
      </c>
      <c r="G62" s="4">
        <f>'Sales Data'!G62</f>
        <v/>
      </c>
      <c r="H62" s="2">
        <f>'Sales Data'!H62</f>
        <v/>
      </c>
      <c r="I62" s="8">
        <f>IFERROR(G62/F62,0)</f>
        <v/>
      </c>
      <c r="J62" s="2">
        <f>IF(F62&gt;5000,"High","Medium")</f>
        <v/>
      </c>
    </row>
    <row r="63">
      <c r="A63" s="5">
        <f>'Sales Data'!A63</f>
        <v/>
      </c>
      <c r="B63" s="6">
        <f>'Sales Data'!B63</f>
        <v/>
      </c>
      <c r="C63" s="5">
        <f>'Sales Data'!C63</f>
        <v/>
      </c>
      <c r="D63" s="5">
        <f>'Sales Data'!D63</f>
        <v/>
      </c>
      <c r="E63" s="5">
        <f>'Sales Data'!E63</f>
        <v/>
      </c>
      <c r="F63" s="7">
        <f>'Sales Data'!F63</f>
        <v/>
      </c>
      <c r="G63" s="7">
        <f>'Sales Data'!G63</f>
        <v/>
      </c>
      <c r="H63" s="5">
        <f>'Sales Data'!H63</f>
        <v/>
      </c>
      <c r="I63" s="9">
        <f>IFERROR(G63/F63,0)</f>
        <v/>
      </c>
      <c r="J63" s="5">
        <f>IF(F63&gt;5000,"High","Medium")</f>
        <v/>
      </c>
    </row>
    <row r="64">
      <c r="A64" s="2">
        <f>'Sales Data'!A64</f>
        <v/>
      </c>
      <c r="B64" s="3">
        <f>'Sales Data'!B64</f>
        <v/>
      </c>
      <c r="C64" s="2">
        <f>'Sales Data'!C64</f>
        <v/>
      </c>
      <c r="D64" s="2">
        <f>'Sales Data'!D64</f>
        <v/>
      </c>
      <c r="E64" s="2">
        <f>'Sales Data'!E64</f>
        <v/>
      </c>
      <c r="F64" s="4">
        <f>'Sales Data'!F64</f>
        <v/>
      </c>
      <c r="G64" s="4">
        <f>'Sales Data'!G64</f>
        <v/>
      </c>
      <c r="H64" s="2">
        <f>'Sales Data'!H64</f>
        <v/>
      </c>
      <c r="I64" s="8">
        <f>IFERROR(G64/F64,0)</f>
        <v/>
      </c>
      <c r="J64" s="2">
        <f>IF(F64&gt;5000,"High","Medium")</f>
        <v/>
      </c>
    </row>
    <row r="65">
      <c r="A65" s="5">
        <f>'Sales Data'!A65</f>
        <v/>
      </c>
      <c r="B65" s="6">
        <f>'Sales Data'!B65</f>
        <v/>
      </c>
      <c r="C65" s="5">
        <f>'Sales Data'!C65</f>
        <v/>
      </c>
      <c r="D65" s="5">
        <f>'Sales Data'!D65</f>
        <v/>
      </c>
      <c r="E65" s="5">
        <f>'Sales Data'!E65</f>
        <v/>
      </c>
      <c r="F65" s="7">
        <f>'Sales Data'!F65</f>
        <v/>
      </c>
      <c r="G65" s="7">
        <f>'Sales Data'!G65</f>
        <v/>
      </c>
      <c r="H65" s="5">
        <f>'Sales Data'!H65</f>
        <v/>
      </c>
      <c r="I65" s="9">
        <f>IFERROR(G65/F65,0)</f>
        <v/>
      </c>
      <c r="J65" s="5">
        <f>IF(F65&gt;5000,"High","Medium")</f>
        <v/>
      </c>
    </row>
    <row r="66">
      <c r="A66" s="2">
        <f>'Sales Data'!A66</f>
        <v/>
      </c>
      <c r="B66" s="3">
        <f>'Sales Data'!B66</f>
        <v/>
      </c>
      <c r="C66" s="2">
        <f>'Sales Data'!C66</f>
        <v/>
      </c>
      <c r="D66" s="2">
        <f>'Sales Data'!D66</f>
        <v/>
      </c>
      <c r="E66" s="2">
        <f>'Sales Data'!E66</f>
        <v/>
      </c>
      <c r="F66" s="4">
        <f>'Sales Data'!F66</f>
        <v/>
      </c>
      <c r="G66" s="4">
        <f>'Sales Data'!G66</f>
        <v/>
      </c>
      <c r="H66" s="2">
        <f>'Sales Data'!H66</f>
        <v/>
      </c>
      <c r="I66" s="8">
        <f>IFERROR(G66/F66,0)</f>
        <v/>
      </c>
      <c r="J66" s="2">
        <f>IF(F66&gt;5000,"High","Medium")</f>
        <v/>
      </c>
    </row>
    <row r="67">
      <c r="A67" s="5">
        <f>'Sales Data'!A67</f>
        <v/>
      </c>
      <c r="B67" s="6">
        <f>'Sales Data'!B67</f>
        <v/>
      </c>
      <c r="C67" s="5">
        <f>'Sales Data'!C67</f>
        <v/>
      </c>
      <c r="D67" s="5">
        <f>'Sales Data'!D67</f>
        <v/>
      </c>
      <c r="E67" s="5">
        <f>'Sales Data'!E67</f>
        <v/>
      </c>
      <c r="F67" s="7">
        <f>'Sales Data'!F67</f>
        <v/>
      </c>
      <c r="G67" s="7">
        <f>'Sales Data'!G67</f>
        <v/>
      </c>
      <c r="H67" s="5">
        <f>'Sales Data'!H67</f>
        <v/>
      </c>
      <c r="I67" s="9">
        <f>IFERROR(G67/F67,0)</f>
        <v/>
      </c>
      <c r="J67" s="5">
        <f>IF(F67&gt;5000,"High","Medium")</f>
        <v/>
      </c>
    </row>
    <row r="68">
      <c r="A68" s="2">
        <f>'Sales Data'!A68</f>
        <v/>
      </c>
      <c r="B68" s="3">
        <f>'Sales Data'!B68</f>
        <v/>
      </c>
      <c r="C68" s="2">
        <f>'Sales Data'!C68</f>
        <v/>
      </c>
      <c r="D68" s="2">
        <f>'Sales Data'!D68</f>
        <v/>
      </c>
      <c r="E68" s="2">
        <f>'Sales Data'!E68</f>
        <v/>
      </c>
      <c r="F68" s="4">
        <f>'Sales Data'!F68</f>
        <v/>
      </c>
      <c r="G68" s="4">
        <f>'Sales Data'!G68</f>
        <v/>
      </c>
      <c r="H68" s="2">
        <f>'Sales Data'!H68</f>
        <v/>
      </c>
      <c r="I68" s="8">
        <f>IFERROR(G68/F68,0)</f>
        <v/>
      </c>
      <c r="J68" s="2">
        <f>IF(F68&gt;5000,"High","Medium")</f>
        <v/>
      </c>
    </row>
    <row r="69">
      <c r="A69" s="5">
        <f>'Sales Data'!A69</f>
        <v/>
      </c>
      <c r="B69" s="6">
        <f>'Sales Data'!B69</f>
        <v/>
      </c>
      <c r="C69" s="5">
        <f>'Sales Data'!C69</f>
        <v/>
      </c>
      <c r="D69" s="5">
        <f>'Sales Data'!D69</f>
        <v/>
      </c>
      <c r="E69" s="5">
        <f>'Sales Data'!E69</f>
        <v/>
      </c>
      <c r="F69" s="7">
        <f>'Sales Data'!F69</f>
        <v/>
      </c>
      <c r="G69" s="7">
        <f>'Sales Data'!G69</f>
        <v/>
      </c>
      <c r="H69" s="5">
        <f>'Sales Data'!H69</f>
        <v/>
      </c>
      <c r="I69" s="9">
        <f>IFERROR(G69/F69,0)</f>
        <v/>
      </c>
      <c r="J69" s="5">
        <f>IF(F69&gt;5000,"High","Medium")</f>
        <v/>
      </c>
    </row>
    <row r="70">
      <c r="A70" s="2">
        <f>'Sales Data'!A70</f>
        <v/>
      </c>
      <c r="B70" s="3">
        <f>'Sales Data'!B70</f>
        <v/>
      </c>
      <c r="C70" s="2">
        <f>'Sales Data'!C70</f>
        <v/>
      </c>
      <c r="D70" s="2">
        <f>'Sales Data'!D70</f>
        <v/>
      </c>
      <c r="E70" s="2">
        <f>'Sales Data'!E70</f>
        <v/>
      </c>
      <c r="F70" s="4">
        <f>'Sales Data'!F70</f>
        <v/>
      </c>
      <c r="G70" s="4">
        <f>'Sales Data'!G70</f>
        <v/>
      </c>
      <c r="H70" s="2">
        <f>'Sales Data'!H70</f>
        <v/>
      </c>
      <c r="I70" s="8">
        <f>IFERROR(G70/F70,0)</f>
        <v/>
      </c>
      <c r="J70" s="2">
        <f>IF(F70&gt;5000,"High","Medium")</f>
        <v/>
      </c>
    </row>
    <row r="71">
      <c r="A71" s="5">
        <f>'Sales Data'!A71</f>
        <v/>
      </c>
      <c r="B71" s="6">
        <f>'Sales Data'!B71</f>
        <v/>
      </c>
      <c r="C71" s="5">
        <f>'Sales Data'!C71</f>
        <v/>
      </c>
      <c r="D71" s="5">
        <f>'Sales Data'!D71</f>
        <v/>
      </c>
      <c r="E71" s="5">
        <f>'Sales Data'!E71</f>
        <v/>
      </c>
      <c r="F71" s="7">
        <f>'Sales Data'!F71</f>
        <v/>
      </c>
      <c r="G71" s="7">
        <f>'Sales Data'!G71</f>
        <v/>
      </c>
      <c r="H71" s="5">
        <f>'Sales Data'!H71</f>
        <v/>
      </c>
      <c r="I71" s="9">
        <f>IFERROR(G71/F71,0)</f>
        <v/>
      </c>
      <c r="J71" s="5">
        <f>IF(F71&gt;5000,"High","Medium")</f>
        <v/>
      </c>
    </row>
    <row r="72">
      <c r="A72" s="2">
        <f>'Sales Data'!A72</f>
        <v/>
      </c>
      <c r="B72" s="3">
        <f>'Sales Data'!B72</f>
        <v/>
      </c>
      <c r="C72" s="2">
        <f>'Sales Data'!C72</f>
        <v/>
      </c>
      <c r="D72" s="2">
        <f>'Sales Data'!D72</f>
        <v/>
      </c>
      <c r="E72" s="2">
        <f>'Sales Data'!E72</f>
        <v/>
      </c>
      <c r="F72" s="4">
        <f>'Sales Data'!F72</f>
        <v/>
      </c>
      <c r="G72" s="4">
        <f>'Sales Data'!G72</f>
        <v/>
      </c>
      <c r="H72" s="2">
        <f>'Sales Data'!H72</f>
        <v/>
      </c>
      <c r="I72" s="8">
        <f>IFERROR(G72/F72,0)</f>
        <v/>
      </c>
      <c r="J72" s="2">
        <f>IF(F72&gt;5000,"High","Medium")</f>
        <v/>
      </c>
    </row>
    <row r="73">
      <c r="A73" s="5">
        <f>'Sales Data'!A73</f>
        <v/>
      </c>
      <c r="B73" s="6">
        <f>'Sales Data'!B73</f>
        <v/>
      </c>
      <c r="C73" s="5">
        <f>'Sales Data'!C73</f>
        <v/>
      </c>
      <c r="D73" s="5">
        <f>'Sales Data'!D73</f>
        <v/>
      </c>
      <c r="E73" s="5">
        <f>'Sales Data'!E73</f>
        <v/>
      </c>
      <c r="F73" s="7">
        <f>'Sales Data'!F73</f>
        <v/>
      </c>
      <c r="G73" s="7">
        <f>'Sales Data'!G73</f>
        <v/>
      </c>
      <c r="H73" s="5">
        <f>'Sales Data'!H73</f>
        <v/>
      </c>
      <c r="I73" s="9">
        <f>IFERROR(G73/F73,0)</f>
        <v/>
      </c>
      <c r="J73" s="5">
        <f>IF(F73&gt;5000,"High","Medium")</f>
        <v/>
      </c>
    </row>
    <row r="74">
      <c r="A74" s="2">
        <f>'Sales Data'!A74</f>
        <v/>
      </c>
      <c r="B74" s="3">
        <f>'Sales Data'!B74</f>
        <v/>
      </c>
      <c r="C74" s="2">
        <f>'Sales Data'!C74</f>
        <v/>
      </c>
      <c r="D74" s="2">
        <f>'Sales Data'!D74</f>
        <v/>
      </c>
      <c r="E74" s="2">
        <f>'Sales Data'!E74</f>
        <v/>
      </c>
      <c r="F74" s="4">
        <f>'Sales Data'!F74</f>
        <v/>
      </c>
      <c r="G74" s="4">
        <f>'Sales Data'!G74</f>
        <v/>
      </c>
      <c r="H74" s="2">
        <f>'Sales Data'!H74</f>
        <v/>
      </c>
      <c r="I74" s="8">
        <f>IFERROR(G74/F74,0)</f>
        <v/>
      </c>
      <c r="J74" s="2">
        <f>IF(F74&gt;5000,"High","Medium")</f>
        <v/>
      </c>
    </row>
    <row r="75">
      <c r="A75" s="5">
        <f>'Sales Data'!A75</f>
        <v/>
      </c>
      <c r="B75" s="6">
        <f>'Sales Data'!B75</f>
        <v/>
      </c>
      <c r="C75" s="5">
        <f>'Sales Data'!C75</f>
        <v/>
      </c>
      <c r="D75" s="5">
        <f>'Sales Data'!D75</f>
        <v/>
      </c>
      <c r="E75" s="5">
        <f>'Sales Data'!E75</f>
        <v/>
      </c>
      <c r="F75" s="7">
        <f>'Sales Data'!F75</f>
        <v/>
      </c>
      <c r="G75" s="7">
        <f>'Sales Data'!G75</f>
        <v/>
      </c>
      <c r="H75" s="5">
        <f>'Sales Data'!H75</f>
        <v/>
      </c>
      <c r="I75" s="9">
        <f>IFERROR(G75/F75,0)</f>
        <v/>
      </c>
      <c r="J75" s="5">
        <f>IF(F75&gt;5000,"High","Medium")</f>
        <v/>
      </c>
    </row>
    <row r="76">
      <c r="A76" s="2">
        <f>'Sales Data'!A76</f>
        <v/>
      </c>
      <c r="B76" s="3">
        <f>'Sales Data'!B76</f>
        <v/>
      </c>
      <c r="C76" s="2">
        <f>'Sales Data'!C76</f>
        <v/>
      </c>
      <c r="D76" s="2">
        <f>'Sales Data'!D76</f>
        <v/>
      </c>
      <c r="E76" s="2">
        <f>'Sales Data'!E76</f>
        <v/>
      </c>
      <c r="F76" s="4">
        <f>'Sales Data'!F76</f>
        <v/>
      </c>
      <c r="G76" s="4">
        <f>'Sales Data'!G76</f>
        <v/>
      </c>
      <c r="H76" s="2">
        <f>'Sales Data'!H76</f>
        <v/>
      </c>
      <c r="I76" s="8">
        <f>IFERROR(G76/F76,0)</f>
        <v/>
      </c>
      <c r="J76" s="2">
        <f>IF(F76&gt;5000,"High","Medium")</f>
        <v/>
      </c>
    </row>
    <row r="77">
      <c r="A77" s="5">
        <f>'Sales Data'!A77</f>
        <v/>
      </c>
      <c r="B77" s="6">
        <f>'Sales Data'!B77</f>
        <v/>
      </c>
      <c r="C77" s="5">
        <f>'Sales Data'!C77</f>
        <v/>
      </c>
      <c r="D77" s="5">
        <f>'Sales Data'!D77</f>
        <v/>
      </c>
      <c r="E77" s="5">
        <f>'Sales Data'!E77</f>
        <v/>
      </c>
      <c r="F77" s="7">
        <f>'Sales Data'!F77</f>
        <v/>
      </c>
      <c r="G77" s="7">
        <f>'Sales Data'!G77</f>
        <v/>
      </c>
      <c r="H77" s="5">
        <f>'Sales Data'!H77</f>
        <v/>
      </c>
      <c r="I77" s="9">
        <f>IFERROR(G77/F77,0)</f>
        <v/>
      </c>
      <c r="J77" s="5">
        <f>IF(F77&gt;5000,"High","Medium")</f>
        <v/>
      </c>
    </row>
    <row r="78">
      <c r="A78" s="2">
        <f>'Sales Data'!A78</f>
        <v/>
      </c>
      <c r="B78" s="3">
        <f>'Sales Data'!B78</f>
        <v/>
      </c>
      <c r="C78" s="2">
        <f>'Sales Data'!C78</f>
        <v/>
      </c>
      <c r="D78" s="2">
        <f>'Sales Data'!D78</f>
        <v/>
      </c>
      <c r="E78" s="2">
        <f>'Sales Data'!E78</f>
        <v/>
      </c>
      <c r="F78" s="4">
        <f>'Sales Data'!F78</f>
        <v/>
      </c>
      <c r="G78" s="4">
        <f>'Sales Data'!G78</f>
        <v/>
      </c>
      <c r="H78" s="2">
        <f>'Sales Data'!H78</f>
        <v/>
      </c>
      <c r="I78" s="8">
        <f>IFERROR(G78/F78,0)</f>
        <v/>
      </c>
      <c r="J78" s="2">
        <f>IF(F78&gt;5000,"High","Medium")</f>
        <v/>
      </c>
    </row>
    <row r="79">
      <c r="A79" s="5">
        <f>'Sales Data'!A79</f>
        <v/>
      </c>
      <c r="B79" s="6">
        <f>'Sales Data'!B79</f>
        <v/>
      </c>
      <c r="C79" s="5">
        <f>'Sales Data'!C79</f>
        <v/>
      </c>
      <c r="D79" s="5">
        <f>'Sales Data'!D79</f>
        <v/>
      </c>
      <c r="E79" s="5">
        <f>'Sales Data'!E79</f>
        <v/>
      </c>
      <c r="F79" s="7">
        <f>'Sales Data'!F79</f>
        <v/>
      </c>
      <c r="G79" s="7">
        <f>'Sales Data'!G79</f>
        <v/>
      </c>
      <c r="H79" s="5">
        <f>'Sales Data'!H79</f>
        <v/>
      </c>
      <c r="I79" s="9">
        <f>IFERROR(G79/F79,0)</f>
        <v/>
      </c>
      <c r="J79" s="5">
        <f>IF(F79&gt;5000,"High","Medium")</f>
        <v/>
      </c>
    </row>
    <row r="80">
      <c r="A80" s="2">
        <f>'Sales Data'!A80</f>
        <v/>
      </c>
      <c r="B80" s="3">
        <f>'Sales Data'!B80</f>
        <v/>
      </c>
      <c r="C80" s="2">
        <f>'Sales Data'!C80</f>
        <v/>
      </c>
      <c r="D80" s="2">
        <f>'Sales Data'!D80</f>
        <v/>
      </c>
      <c r="E80" s="2">
        <f>'Sales Data'!E80</f>
        <v/>
      </c>
      <c r="F80" s="4">
        <f>'Sales Data'!F80</f>
        <v/>
      </c>
      <c r="G80" s="4">
        <f>'Sales Data'!G80</f>
        <v/>
      </c>
      <c r="H80" s="2">
        <f>'Sales Data'!H80</f>
        <v/>
      </c>
      <c r="I80" s="8">
        <f>IFERROR(G80/F80,0)</f>
        <v/>
      </c>
      <c r="J80" s="2">
        <f>IF(F80&gt;5000,"High","Medium")</f>
        <v/>
      </c>
    </row>
    <row r="81">
      <c r="A81" s="5">
        <f>'Sales Data'!A81</f>
        <v/>
      </c>
      <c r="B81" s="6">
        <f>'Sales Data'!B81</f>
        <v/>
      </c>
      <c r="C81" s="5">
        <f>'Sales Data'!C81</f>
        <v/>
      </c>
      <c r="D81" s="5">
        <f>'Sales Data'!D81</f>
        <v/>
      </c>
      <c r="E81" s="5">
        <f>'Sales Data'!E81</f>
        <v/>
      </c>
      <c r="F81" s="7">
        <f>'Sales Data'!F81</f>
        <v/>
      </c>
      <c r="G81" s="7">
        <f>'Sales Data'!G81</f>
        <v/>
      </c>
      <c r="H81" s="5">
        <f>'Sales Data'!H81</f>
        <v/>
      </c>
      <c r="I81" s="9">
        <f>IFERROR(G81/F81,0)</f>
        <v/>
      </c>
      <c r="J81" s="5">
        <f>IF(F81&gt;5000,"High","Medium")</f>
        <v/>
      </c>
    </row>
    <row r="82">
      <c r="A82" s="2">
        <f>'Sales Data'!A82</f>
        <v/>
      </c>
      <c r="B82" s="3">
        <f>'Sales Data'!B82</f>
        <v/>
      </c>
      <c r="C82" s="2">
        <f>'Sales Data'!C82</f>
        <v/>
      </c>
      <c r="D82" s="2">
        <f>'Sales Data'!D82</f>
        <v/>
      </c>
      <c r="E82" s="2">
        <f>'Sales Data'!E82</f>
        <v/>
      </c>
      <c r="F82" s="4">
        <f>'Sales Data'!F82</f>
        <v/>
      </c>
      <c r="G82" s="4">
        <f>'Sales Data'!G82</f>
        <v/>
      </c>
      <c r="H82" s="2">
        <f>'Sales Data'!H82</f>
        <v/>
      </c>
      <c r="I82" s="8">
        <f>IFERROR(G82/F82,0)</f>
        <v/>
      </c>
      <c r="J82" s="2">
        <f>IF(F82&gt;5000,"High","Medium")</f>
        <v/>
      </c>
    </row>
    <row r="83">
      <c r="A83" s="5">
        <f>'Sales Data'!A83</f>
        <v/>
      </c>
      <c r="B83" s="6">
        <f>'Sales Data'!B83</f>
        <v/>
      </c>
      <c r="C83" s="5">
        <f>'Sales Data'!C83</f>
        <v/>
      </c>
      <c r="D83" s="5">
        <f>'Sales Data'!D83</f>
        <v/>
      </c>
      <c r="E83" s="5">
        <f>'Sales Data'!E83</f>
        <v/>
      </c>
      <c r="F83" s="7">
        <f>'Sales Data'!F83</f>
        <v/>
      </c>
      <c r="G83" s="7">
        <f>'Sales Data'!G83</f>
        <v/>
      </c>
      <c r="H83" s="5">
        <f>'Sales Data'!H83</f>
        <v/>
      </c>
      <c r="I83" s="9">
        <f>IFERROR(G83/F83,0)</f>
        <v/>
      </c>
      <c r="J83" s="5">
        <f>IF(F83&gt;5000,"High","Medium")</f>
        <v/>
      </c>
    </row>
    <row r="84">
      <c r="A84" s="2">
        <f>'Sales Data'!A84</f>
        <v/>
      </c>
      <c r="B84" s="3">
        <f>'Sales Data'!B84</f>
        <v/>
      </c>
      <c r="C84" s="2">
        <f>'Sales Data'!C84</f>
        <v/>
      </c>
      <c r="D84" s="2">
        <f>'Sales Data'!D84</f>
        <v/>
      </c>
      <c r="E84" s="2">
        <f>'Sales Data'!E84</f>
        <v/>
      </c>
      <c r="F84" s="4">
        <f>'Sales Data'!F84</f>
        <v/>
      </c>
      <c r="G84" s="4">
        <f>'Sales Data'!G84</f>
        <v/>
      </c>
      <c r="H84" s="2">
        <f>'Sales Data'!H84</f>
        <v/>
      </c>
      <c r="I84" s="8">
        <f>IFERROR(G84/F84,0)</f>
        <v/>
      </c>
      <c r="J84" s="2">
        <f>IF(F84&gt;5000,"High","Medium")</f>
        <v/>
      </c>
    </row>
    <row r="85">
      <c r="A85" s="5">
        <f>'Sales Data'!A85</f>
        <v/>
      </c>
      <c r="B85" s="6">
        <f>'Sales Data'!B85</f>
        <v/>
      </c>
      <c r="C85" s="5">
        <f>'Sales Data'!C85</f>
        <v/>
      </c>
      <c r="D85" s="5">
        <f>'Sales Data'!D85</f>
        <v/>
      </c>
      <c r="E85" s="5">
        <f>'Sales Data'!E85</f>
        <v/>
      </c>
      <c r="F85" s="7">
        <f>'Sales Data'!F85</f>
        <v/>
      </c>
      <c r="G85" s="7">
        <f>'Sales Data'!G85</f>
        <v/>
      </c>
      <c r="H85" s="5">
        <f>'Sales Data'!H85</f>
        <v/>
      </c>
      <c r="I85" s="9">
        <f>IFERROR(G85/F85,0)</f>
        <v/>
      </c>
      <c r="J85" s="5">
        <f>IF(F85&gt;5000,"High","Medium")</f>
        <v/>
      </c>
    </row>
    <row r="86">
      <c r="A86" s="2">
        <f>'Sales Data'!A86</f>
        <v/>
      </c>
      <c r="B86" s="3">
        <f>'Sales Data'!B86</f>
        <v/>
      </c>
      <c r="C86" s="2">
        <f>'Sales Data'!C86</f>
        <v/>
      </c>
      <c r="D86" s="2">
        <f>'Sales Data'!D86</f>
        <v/>
      </c>
      <c r="E86" s="2">
        <f>'Sales Data'!E86</f>
        <v/>
      </c>
      <c r="F86" s="4">
        <f>'Sales Data'!F86</f>
        <v/>
      </c>
      <c r="G86" s="4">
        <f>'Sales Data'!G86</f>
        <v/>
      </c>
      <c r="H86" s="2">
        <f>'Sales Data'!H86</f>
        <v/>
      </c>
      <c r="I86" s="8">
        <f>IFERROR(G86/F86,0)</f>
        <v/>
      </c>
      <c r="J86" s="2">
        <f>IF(F86&gt;5000,"High","Medium")</f>
        <v/>
      </c>
    </row>
    <row r="87">
      <c r="A87" s="5">
        <f>'Sales Data'!A87</f>
        <v/>
      </c>
      <c r="B87" s="6">
        <f>'Sales Data'!B87</f>
        <v/>
      </c>
      <c r="C87" s="5">
        <f>'Sales Data'!C87</f>
        <v/>
      </c>
      <c r="D87" s="5">
        <f>'Sales Data'!D87</f>
        <v/>
      </c>
      <c r="E87" s="5">
        <f>'Sales Data'!E87</f>
        <v/>
      </c>
      <c r="F87" s="7">
        <f>'Sales Data'!F87</f>
        <v/>
      </c>
      <c r="G87" s="7">
        <f>'Sales Data'!G87</f>
        <v/>
      </c>
      <c r="H87" s="5">
        <f>'Sales Data'!H87</f>
        <v/>
      </c>
      <c r="I87" s="9">
        <f>IFERROR(G87/F87,0)</f>
        <v/>
      </c>
      <c r="J87" s="5">
        <f>IF(F87&gt;5000,"High","Medium")</f>
        <v/>
      </c>
    </row>
    <row r="88">
      <c r="A88" s="2">
        <f>'Sales Data'!A88</f>
        <v/>
      </c>
      <c r="B88" s="3">
        <f>'Sales Data'!B88</f>
        <v/>
      </c>
      <c r="C88" s="2">
        <f>'Sales Data'!C88</f>
        <v/>
      </c>
      <c r="D88" s="2">
        <f>'Sales Data'!D88</f>
        <v/>
      </c>
      <c r="E88" s="2">
        <f>'Sales Data'!E88</f>
        <v/>
      </c>
      <c r="F88" s="4">
        <f>'Sales Data'!F88</f>
        <v/>
      </c>
      <c r="G88" s="4">
        <f>'Sales Data'!G88</f>
        <v/>
      </c>
      <c r="H88" s="2">
        <f>'Sales Data'!H88</f>
        <v/>
      </c>
      <c r="I88" s="8">
        <f>IFERROR(G88/F88,0)</f>
        <v/>
      </c>
      <c r="J88" s="2">
        <f>IF(F88&gt;5000,"High","Medium")</f>
        <v/>
      </c>
    </row>
    <row r="89">
      <c r="A89" s="5">
        <f>'Sales Data'!A89</f>
        <v/>
      </c>
      <c r="B89" s="6">
        <f>'Sales Data'!B89</f>
        <v/>
      </c>
      <c r="C89" s="5">
        <f>'Sales Data'!C89</f>
        <v/>
      </c>
      <c r="D89" s="5">
        <f>'Sales Data'!D89</f>
        <v/>
      </c>
      <c r="E89" s="5">
        <f>'Sales Data'!E89</f>
        <v/>
      </c>
      <c r="F89" s="7">
        <f>'Sales Data'!F89</f>
        <v/>
      </c>
      <c r="G89" s="7">
        <f>'Sales Data'!G89</f>
        <v/>
      </c>
      <c r="H89" s="5">
        <f>'Sales Data'!H89</f>
        <v/>
      </c>
      <c r="I89" s="9">
        <f>IFERROR(G89/F89,0)</f>
        <v/>
      </c>
      <c r="J89" s="5">
        <f>IF(F89&gt;5000,"High","Medium")</f>
        <v/>
      </c>
    </row>
    <row r="90">
      <c r="A90" s="2">
        <f>'Sales Data'!A90</f>
        <v/>
      </c>
      <c r="B90" s="3">
        <f>'Sales Data'!B90</f>
        <v/>
      </c>
      <c r="C90" s="2">
        <f>'Sales Data'!C90</f>
        <v/>
      </c>
      <c r="D90" s="2">
        <f>'Sales Data'!D90</f>
        <v/>
      </c>
      <c r="E90" s="2">
        <f>'Sales Data'!E90</f>
        <v/>
      </c>
      <c r="F90" s="4">
        <f>'Sales Data'!F90</f>
        <v/>
      </c>
      <c r="G90" s="4">
        <f>'Sales Data'!G90</f>
        <v/>
      </c>
      <c r="H90" s="2">
        <f>'Sales Data'!H90</f>
        <v/>
      </c>
      <c r="I90" s="8">
        <f>IFERROR(G90/F90,0)</f>
        <v/>
      </c>
      <c r="J90" s="2">
        <f>IF(F90&gt;5000,"High","Medium")</f>
        <v/>
      </c>
    </row>
    <row r="91">
      <c r="A91" s="5">
        <f>'Sales Data'!A91</f>
        <v/>
      </c>
      <c r="B91" s="6">
        <f>'Sales Data'!B91</f>
        <v/>
      </c>
      <c r="C91" s="5">
        <f>'Sales Data'!C91</f>
        <v/>
      </c>
      <c r="D91" s="5">
        <f>'Sales Data'!D91</f>
        <v/>
      </c>
      <c r="E91" s="5">
        <f>'Sales Data'!E91</f>
        <v/>
      </c>
      <c r="F91" s="7">
        <f>'Sales Data'!F91</f>
        <v/>
      </c>
      <c r="G91" s="7">
        <f>'Sales Data'!G91</f>
        <v/>
      </c>
      <c r="H91" s="5">
        <f>'Sales Data'!H91</f>
        <v/>
      </c>
      <c r="I91" s="9">
        <f>IFERROR(G91/F91,0)</f>
        <v/>
      </c>
      <c r="J91" s="5">
        <f>IF(F91&gt;5000,"High","Medium")</f>
        <v/>
      </c>
    </row>
    <row r="92">
      <c r="A92" s="2">
        <f>'Sales Data'!A92</f>
        <v/>
      </c>
      <c r="B92" s="3">
        <f>'Sales Data'!B92</f>
        <v/>
      </c>
      <c r="C92" s="2">
        <f>'Sales Data'!C92</f>
        <v/>
      </c>
      <c r="D92" s="2">
        <f>'Sales Data'!D92</f>
        <v/>
      </c>
      <c r="E92" s="2">
        <f>'Sales Data'!E92</f>
        <v/>
      </c>
      <c r="F92" s="4">
        <f>'Sales Data'!F92</f>
        <v/>
      </c>
      <c r="G92" s="4">
        <f>'Sales Data'!G92</f>
        <v/>
      </c>
      <c r="H92" s="2">
        <f>'Sales Data'!H92</f>
        <v/>
      </c>
      <c r="I92" s="8">
        <f>IFERROR(G92/F92,0)</f>
        <v/>
      </c>
      <c r="J92" s="2">
        <f>IF(F92&gt;5000,"High","Medium")</f>
        <v/>
      </c>
    </row>
    <row r="93">
      <c r="A93" s="5">
        <f>'Sales Data'!A93</f>
        <v/>
      </c>
      <c r="B93" s="6">
        <f>'Sales Data'!B93</f>
        <v/>
      </c>
      <c r="C93" s="5">
        <f>'Sales Data'!C93</f>
        <v/>
      </c>
      <c r="D93" s="5">
        <f>'Sales Data'!D93</f>
        <v/>
      </c>
      <c r="E93" s="5">
        <f>'Sales Data'!E93</f>
        <v/>
      </c>
      <c r="F93" s="7">
        <f>'Sales Data'!F93</f>
        <v/>
      </c>
      <c r="G93" s="7">
        <f>'Sales Data'!G93</f>
        <v/>
      </c>
      <c r="H93" s="5">
        <f>'Sales Data'!H93</f>
        <v/>
      </c>
      <c r="I93" s="9">
        <f>IFERROR(G93/F93,0)</f>
        <v/>
      </c>
      <c r="J93" s="5">
        <f>IF(F93&gt;5000,"High","Medium")</f>
        <v/>
      </c>
    </row>
    <row r="94">
      <c r="A94" s="2">
        <f>'Sales Data'!A94</f>
        <v/>
      </c>
      <c r="B94" s="3">
        <f>'Sales Data'!B94</f>
        <v/>
      </c>
      <c r="C94" s="2">
        <f>'Sales Data'!C94</f>
        <v/>
      </c>
      <c r="D94" s="2">
        <f>'Sales Data'!D94</f>
        <v/>
      </c>
      <c r="E94" s="2">
        <f>'Sales Data'!E94</f>
        <v/>
      </c>
      <c r="F94" s="4">
        <f>'Sales Data'!F94</f>
        <v/>
      </c>
      <c r="G94" s="4">
        <f>'Sales Data'!G94</f>
        <v/>
      </c>
      <c r="H94" s="2">
        <f>'Sales Data'!H94</f>
        <v/>
      </c>
      <c r="I94" s="8">
        <f>IFERROR(G94/F94,0)</f>
        <v/>
      </c>
      <c r="J94" s="2">
        <f>IF(F94&gt;5000,"High","Medium")</f>
        <v/>
      </c>
    </row>
    <row r="95">
      <c r="A95" s="5">
        <f>'Sales Data'!A95</f>
        <v/>
      </c>
      <c r="B95" s="6">
        <f>'Sales Data'!B95</f>
        <v/>
      </c>
      <c r="C95" s="5">
        <f>'Sales Data'!C95</f>
        <v/>
      </c>
      <c r="D95" s="5">
        <f>'Sales Data'!D95</f>
        <v/>
      </c>
      <c r="E95" s="5">
        <f>'Sales Data'!E95</f>
        <v/>
      </c>
      <c r="F95" s="7">
        <f>'Sales Data'!F95</f>
        <v/>
      </c>
      <c r="G95" s="7">
        <f>'Sales Data'!G95</f>
        <v/>
      </c>
      <c r="H95" s="5">
        <f>'Sales Data'!H95</f>
        <v/>
      </c>
      <c r="I95" s="9">
        <f>IFERROR(G95/F95,0)</f>
        <v/>
      </c>
      <c r="J95" s="5">
        <f>IF(F95&gt;5000,"High","Medium")</f>
        <v/>
      </c>
    </row>
    <row r="96">
      <c r="A96" s="2">
        <f>'Sales Data'!A96</f>
        <v/>
      </c>
      <c r="B96" s="3">
        <f>'Sales Data'!B96</f>
        <v/>
      </c>
      <c r="C96" s="2">
        <f>'Sales Data'!C96</f>
        <v/>
      </c>
      <c r="D96" s="2">
        <f>'Sales Data'!D96</f>
        <v/>
      </c>
      <c r="E96" s="2">
        <f>'Sales Data'!E96</f>
        <v/>
      </c>
      <c r="F96" s="4">
        <f>'Sales Data'!F96</f>
        <v/>
      </c>
      <c r="G96" s="4">
        <f>'Sales Data'!G96</f>
        <v/>
      </c>
      <c r="H96" s="2">
        <f>'Sales Data'!H96</f>
        <v/>
      </c>
      <c r="I96" s="8">
        <f>IFERROR(G96/F96,0)</f>
        <v/>
      </c>
      <c r="J96" s="2">
        <f>IF(F96&gt;5000,"High","Medium")</f>
        <v/>
      </c>
    </row>
    <row r="97">
      <c r="A97" s="5">
        <f>'Sales Data'!A97</f>
        <v/>
      </c>
      <c r="B97" s="6">
        <f>'Sales Data'!B97</f>
        <v/>
      </c>
      <c r="C97" s="5">
        <f>'Sales Data'!C97</f>
        <v/>
      </c>
      <c r="D97" s="5">
        <f>'Sales Data'!D97</f>
        <v/>
      </c>
      <c r="E97" s="5">
        <f>'Sales Data'!E97</f>
        <v/>
      </c>
      <c r="F97" s="7">
        <f>'Sales Data'!F97</f>
        <v/>
      </c>
      <c r="G97" s="7">
        <f>'Sales Data'!G97</f>
        <v/>
      </c>
      <c r="H97" s="5">
        <f>'Sales Data'!H97</f>
        <v/>
      </c>
      <c r="I97" s="9">
        <f>IFERROR(G97/F97,0)</f>
        <v/>
      </c>
      <c r="J97" s="5">
        <f>IF(F97&gt;5000,"High","Medium")</f>
        <v/>
      </c>
    </row>
    <row r="98">
      <c r="A98" s="2">
        <f>'Sales Data'!A98</f>
        <v/>
      </c>
      <c r="B98" s="3">
        <f>'Sales Data'!B98</f>
        <v/>
      </c>
      <c r="C98" s="2">
        <f>'Sales Data'!C98</f>
        <v/>
      </c>
      <c r="D98" s="2">
        <f>'Sales Data'!D98</f>
        <v/>
      </c>
      <c r="E98" s="2">
        <f>'Sales Data'!E98</f>
        <v/>
      </c>
      <c r="F98" s="4">
        <f>'Sales Data'!F98</f>
        <v/>
      </c>
      <c r="G98" s="4">
        <f>'Sales Data'!G98</f>
        <v/>
      </c>
      <c r="H98" s="2">
        <f>'Sales Data'!H98</f>
        <v/>
      </c>
      <c r="I98" s="8">
        <f>IFERROR(G98/F98,0)</f>
        <v/>
      </c>
      <c r="J98" s="2">
        <f>IF(F98&gt;5000,"High","Medium")</f>
        <v/>
      </c>
    </row>
    <row r="99">
      <c r="A99" s="5">
        <f>'Sales Data'!A99</f>
        <v/>
      </c>
      <c r="B99" s="6">
        <f>'Sales Data'!B99</f>
        <v/>
      </c>
      <c r="C99" s="5">
        <f>'Sales Data'!C99</f>
        <v/>
      </c>
      <c r="D99" s="5">
        <f>'Sales Data'!D99</f>
        <v/>
      </c>
      <c r="E99" s="5">
        <f>'Sales Data'!E99</f>
        <v/>
      </c>
      <c r="F99" s="7">
        <f>'Sales Data'!F99</f>
        <v/>
      </c>
      <c r="G99" s="7">
        <f>'Sales Data'!G99</f>
        <v/>
      </c>
      <c r="H99" s="5">
        <f>'Sales Data'!H99</f>
        <v/>
      </c>
      <c r="I99" s="9">
        <f>IFERROR(G99/F99,0)</f>
        <v/>
      </c>
      <c r="J99" s="5">
        <f>IF(F99&gt;5000,"High","Medium")</f>
        <v/>
      </c>
    </row>
    <row r="100">
      <c r="A100" s="2">
        <f>'Sales Data'!A100</f>
        <v/>
      </c>
      <c r="B100" s="3">
        <f>'Sales Data'!B100</f>
        <v/>
      </c>
      <c r="C100" s="2">
        <f>'Sales Data'!C100</f>
        <v/>
      </c>
      <c r="D100" s="2">
        <f>'Sales Data'!D100</f>
        <v/>
      </c>
      <c r="E100" s="2">
        <f>'Sales Data'!E100</f>
        <v/>
      </c>
      <c r="F100" s="4">
        <f>'Sales Data'!F100</f>
        <v/>
      </c>
      <c r="G100" s="4">
        <f>'Sales Data'!G100</f>
        <v/>
      </c>
      <c r="H100" s="2">
        <f>'Sales Data'!H100</f>
        <v/>
      </c>
      <c r="I100" s="8">
        <f>IFERROR(G100/F100,0)</f>
        <v/>
      </c>
      <c r="J100" s="2">
        <f>IF(F100&gt;5000,"High","Medium")</f>
        <v/>
      </c>
    </row>
    <row r="101">
      <c r="A101" s="5">
        <f>'Sales Data'!A101</f>
        <v/>
      </c>
      <c r="B101" s="6">
        <f>'Sales Data'!B101</f>
        <v/>
      </c>
      <c r="C101" s="5">
        <f>'Sales Data'!C101</f>
        <v/>
      </c>
      <c r="D101" s="5">
        <f>'Sales Data'!D101</f>
        <v/>
      </c>
      <c r="E101" s="5">
        <f>'Sales Data'!E101</f>
        <v/>
      </c>
      <c r="F101" s="7">
        <f>'Sales Data'!F101</f>
        <v/>
      </c>
      <c r="G101" s="7">
        <f>'Sales Data'!G101</f>
        <v/>
      </c>
      <c r="H101" s="5">
        <f>'Sales Data'!H101</f>
        <v/>
      </c>
      <c r="I101" s="9">
        <f>IFERROR(G101/F101,0)</f>
        <v/>
      </c>
      <c r="J101" s="5">
        <f>IF(F101&gt;5000,"High","Medium")</f>
        <v/>
      </c>
    </row>
    <row r="102">
      <c r="A102" s="2">
        <f>'Sales Data'!A102</f>
        <v/>
      </c>
      <c r="B102" s="3">
        <f>'Sales Data'!B102</f>
        <v/>
      </c>
      <c r="C102" s="2">
        <f>'Sales Data'!C102</f>
        <v/>
      </c>
      <c r="D102" s="2">
        <f>'Sales Data'!D102</f>
        <v/>
      </c>
      <c r="E102" s="2">
        <f>'Sales Data'!E102</f>
        <v/>
      </c>
      <c r="F102" s="4">
        <f>'Sales Data'!F102</f>
        <v/>
      </c>
      <c r="G102" s="4">
        <f>'Sales Data'!G102</f>
        <v/>
      </c>
      <c r="H102" s="2">
        <f>'Sales Data'!H102</f>
        <v/>
      </c>
      <c r="I102" s="8">
        <f>IFERROR(G102/F102,0)</f>
        <v/>
      </c>
      <c r="J102" s="2">
        <f>IF(F102&gt;5000,"High","Medium")</f>
        <v/>
      </c>
    </row>
    <row r="103">
      <c r="A103" s="5">
        <f>'Sales Data'!A103</f>
        <v/>
      </c>
      <c r="B103" s="6">
        <f>'Sales Data'!B103</f>
        <v/>
      </c>
      <c r="C103" s="5">
        <f>'Sales Data'!C103</f>
        <v/>
      </c>
      <c r="D103" s="5">
        <f>'Sales Data'!D103</f>
        <v/>
      </c>
      <c r="E103" s="5">
        <f>'Sales Data'!E103</f>
        <v/>
      </c>
      <c r="F103" s="7">
        <f>'Sales Data'!F103</f>
        <v/>
      </c>
      <c r="G103" s="7">
        <f>'Sales Data'!G103</f>
        <v/>
      </c>
      <c r="H103" s="5">
        <f>'Sales Data'!H103</f>
        <v/>
      </c>
      <c r="I103" s="9">
        <f>IFERROR(G103/F103,0)</f>
        <v/>
      </c>
      <c r="J103" s="5">
        <f>IF(F103&gt;5000,"High","Medium")</f>
        <v/>
      </c>
    </row>
    <row r="104">
      <c r="A104" s="2">
        <f>'Sales Data'!A104</f>
        <v/>
      </c>
      <c r="B104" s="3">
        <f>'Sales Data'!B104</f>
        <v/>
      </c>
      <c r="C104" s="2">
        <f>'Sales Data'!C104</f>
        <v/>
      </c>
      <c r="D104" s="2">
        <f>'Sales Data'!D104</f>
        <v/>
      </c>
      <c r="E104" s="2">
        <f>'Sales Data'!E104</f>
        <v/>
      </c>
      <c r="F104" s="4">
        <f>'Sales Data'!F104</f>
        <v/>
      </c>
      <c r="G104" s="4">
        <f>'Sales Data'!G104</f>
        <v/>
      </c>
      <c r="H104" s="2">
        <f>'Sales Data'!H104</f>
        <v/>
      </c>
      <c r="I104" s="8">
        <f>IFERROR(G104/F104,0)</f>
        <v/>
      </c>
      <c r="J104" s="2">
        <f>IF(F104&gt;5000,"High","Medium")</f>
        <v/>
      </c>
    </row>
    <row r="105">
      <c r="A105" s="5">
        <f>'Sales Data'!A105</f>
        <v/>
      </c>
      <c r="B105" s="6">
        <f>'Sales Data'!B105</f>
        <v/>
      </c>
      <c r="C105" s="5">
        <f>'Sales Data'!C105</f>
        <v/>
      </c>
      <c r="D105" s="5">
        <f>'Sales Data'!D105</f>
        <v/>
      </c>
      <c r="E105" s="5">
        <f>'Sales Data'!E105</f>
        <v/>
      </c>
      <c r="F105" s="7">
        <f>'Sales Data'!F105</f>
        <v/>
      </c>
      <c r="G105" s="7">
        <f>'Sales Data'!G105</f>
        <v/>
      </c>
      <c r="H105" s="5">
        <f>'Sales Data'!H105</f>
        <v/>
      </c>
      <c r="I105" s="9">
        <f>IFERROR(G105/F105,0)</f>
        <v/>
      </c>
      <c r="J105" s="5">
        <f>IF(F105&gt;5000,"High","Medium")</f>
        <v/>
      </c>
    </row>
    <row r="106">
      <c r="A106" s="2">
        <f>'Sales Data'!A106</f>
        <v/>
      </c>
      <c r="B106" s="3">
        <f>'Sales Data'!B106</f>
        <v/>
      </c>
      <c r="C106" s="2">
        <f>'Sales Data'!C106</f>
        <v/>
      </c>
      <c r="D106" s="2">
        <f>'Sales Data'!D106</f>
        <v/>
      </c>
      <c r="E106" s="2">
        <f>'Sales Data'!E106</f>
        <v/>
      </c>
      <c r="F106" s="4">
        <f>'Sales Data'!F106</f>
        <v/>
      </c>
      <c r="G106" s="4">
        <f>'Sales Data'!G106</f>
        <v/>
      </c>
      <c r="H106" s="2">
        <f>'Sales Data'!H106</f>
        <v/>
      </c>
      <c r="I106" s="8">
        <f>IFERROR(G106/F106,0)</f>
        <v/>
      </c>
      <c r="J106" s="2">
        <f>IF(F106&gt;5000,"High","Medium")</f>
        <v/>
      </c>
    </row>
    <row r="107">
      <c r="A107" s="5">
        <f>'Sales Data'!A107</f>
        <v/>
      </c>
      <c r="B107" s="6">
        <f>'Sales Data'!B107</f>
        <v/>
      </c>
      <c r="C107" s="5">
        <f>'Sales Data'!C107</f>
        <v/>
      </c>
      <c r="D107" s="5">
        <f>'Sales Data'!D107</f>
        <v/>
      </c>
      <c r="E107" s="5">
        <f>'Sales Data'!E107</f>
        <v/>
      </c>
      <c r="F107" s="7">
        <f>'Sales Data'!F107</f>
        <v/>
      </c>
      <c r="G107" s="7">
        <f>'Sales Data'!G107</f>
        <v/>
      </c>
      <c r="H107" s="5">
        <f>'Sales Data'!H107</f>
        <v/>
      </c>
      <c r="I107" s="9">
        <f>IFERROR(G107/F107,0)</f>
        <v/>
      </c>
      <c r="J107" s="5">
        <f>IF(F107&gt;5000,"High","Medium")</f>
        <v/>
      </c>
    </row>
    <row r="108">
      <c r="A108" s="2">
        <f>'Sales Data'!A108</f>
        <v/>
      </c>
      <c r="B108" s="3">
        <f>'Sales Data'!B108</f>
        <v/>
      </c>
      <c r="C108" s="2">
        <f>'Sales Data'!C108</f>
        <v/>
      </c>
      <c r="D108" s="2">
        <f>'Sales Data'!D108</f>
        <v/>
      </c>
      <c r="E108" s="2">
        <f>'Sales Data'!E108</f>
        <v/>
      </c>
      <c r="F108" s="4">
        <f>'Sales Data'!F108</f>
        <v/>
      </c>
      <c r="G108" s="4">
        <f>'Sales Data'!G108</f>
        <v/>
      </c>
      <c r="H108" s="2">
        <f>'Sales Data'!H108</f>
        <v/>
      </c>
      <c r="I108" s="8">
        <f>IFERROR(G108/F108,0)</f>
        <v/>
      </c>
      <c r="J108" s="2">
        <f>IF(F108&gt;5000,"High","Medium")</f>
        <v/>
      </c>
    </row>
    <row r="109">
      <c r="A109" s="5">
        <f>'Sales Data'!A109</f>
        <v/>
      </c>
      <c r="B109" s="6">
        <f>'Sales Data'!B109</f>
        <v/>
      </c>
      <c r="C109" s="5">
        <f>'Sales Data'!C109</f>
        <v/>
      </c>
      <c r="D109" s="5">
        <f>'Sales Data'!D109</f>
        <v/>
      </c>
      <c r="E109" s="5">
        <f>'Sales Data'!E109</f>
        <v/>
      </c>
      <c r="F109" s="7">
        <f>'Sales Data'!F109</f>
        <v/>
      </c>
      <c r="G109" s="7">
        <f>'Sales Data'!G109</f>
        <v/>
      </c>
      <c r="H109" s="5">
        <f>'Sales Data'!H109</f>
        <v/>
      </c>
      <c r="I109" s="9">
        <f>IFERROR(G109/F109,0)</f>
        <v/>
      </c>
      <c r="J109" s="5">
        <f>IF(F109&gt;5000,"High","Medium")</f>
        <v/>
      </c>
    </row>
    <row r="110">
      <c r="A110" s="2">
        <f>'Sales Data'!A110</f>
        <v/>
      </c>
      <c r="B110" s="3">
        <f>'Sales Data'!B110</f>
        <v/>
      </c>
      <c r="C110" s="2">
        <f>'Sales Data'!C110</f>
        <v/>
      </c>
      <c r="D110" s="2">
        <f>'Sales Data'!D110</f>
        <v/>
      </c>
      <c r="E110" s="2">
        <f>'Sales Data'!E110</f>
        <v/>
      </c>
      <c r="F110" s="4">
        <f>'Sales Data'!F110</f>
        <v/>
      </c>
      <c r="G110" s="4">
        <f>'Sales Data'!G110</f>
        <v/>
      </c>
      <c r="H110" s="2">
        <f>'Sales Data'!H110</f>
        <v/>
      </c>
      <c r="I110" s="8">
        <f>IFERROR(G110/F110,0)</f>
        <v/>
      </c>
      <c r="J110" s="2">
        <f>IF(F110&gt;5000,"High","Medium")</f>
        <v/>
      </c>
    </row>
    <row r="111">
      <c r="A111" s="5">
        <f>'Sales Data'!A111</f>
        <v/>
      </c>
      <c r="B111" s="6">
        <f>'Sales Data'!B111</f>
        <v/>
      </c>
      <c r="C111" s="5">
        <f>'Sales Data'!C111</f>
        <v/>
      </c>
      <c r="D111" s="5">
        <f>'Sales Data'!D111</f>
        <v/>
      </c>
      <c r="E111" s="5">
        <f>'Sales Data'!E111</f>
        <v/>
      </c>
      <c r="F111" s="7">
        <f>'Sales Data'!F111</f>
        <v/>
      </c>
      <c r="G111" s="7">
        <f>'Sales Data'!G111</f>
        <v/>
      </c>
      <c r="H111" s="5">
        <f>'Sales Data'!H111</f>
        <v/>
      </c>
      <c r="I111" s="9">
        <f>IFERROR(G111/F111,0)</f>
        <v/>
      </c>
      <c r="J111" s="5">
        <f>IF(F111&gt;5000,"High","Medium")</f>
        <v/>
      </c>
    </row>
    <row r="112">
      <c r="A112" s="2">
        <f>'Sales Data'!A112</f>
        <v/>
      </c>
      <c r="B112" s="3">
        <f>'Sales Data'!B112</f>
        <v/>
      </c>
      <c r="C112" s="2">
        <f>'Sales Data'!C112</f>
        <v/>
      </c>
      <c r="D112" s="2">
        <f>'Sales Data'!D112</f>
        <v/>
      </c>
      <c r="E112" s="2">
        <f>'Sales Data'!E112</f>
        <v/>
      </c>
      <c r="F112" s="4">
        <f>'Sales Data'!F112</f>
        <v/>
      </c>
      <c r="G112" s="4">
        <f>'Sales Data'!G112</f>
        <v/>
      </c>
      <c r="H112" s="2">
        <f>'Sales Data'!H112</f>
        <v/>
      </c>
      <c r="I112" s="8">
        <f>IFERROR(G112/F112,0)</f>
        <v/>
      </c>
      <c r="J112" s="2">
        <f>IF(F112&gt;5000,"High","Medium")</f>
        <v/>
      </c>
    </row>
    <row r="113">
      <c r="A113" s="5">
        <f>'Sales Data'!A113</f>
        <v/>
      </c>
      <c r="B113" s="6">
        <f>'Sales Data'!B113</f>
        <v/>
      </c>
      <c r="C113" s="5">
        <f>'Sales Data'!C113</f>
        <v/>
      </c>
      <c r="D113" s="5">
        <f>'Sales Data'!D113</f>
        <v/>
      </c>
      <c r="E113" s="5">
        <f>'Sales Data'!E113</f>
        <v/>
      </c>
      <c r="F113" s="7">
        <f>'Sales Data'!F113</f>
        <v/>
      </c>
      <c r="G113" s="7">
        <f>'Sales Data'!G113</f>
        <v/>
      </c>
      <c r="H113" s="5">
        <f>'Sales Data'!H113</f>
        <v/>
      </c>
      <c r="I113" s="9">
        <f>IFERROR(G113/F113,0)</f>
        <v/>
      </c>
      <c r="J113" s="5">
        <f>IF(F113&gt;5000,"High","Medium")</f>
        <v/>
      </c>
    </row>
    <row r="114">
      <c r="A114" s="2">
        <f>'Sales Data'!A114</f>
        <v/>
      </c>
      <c r="B114" s="3">
        <f>'Sales Data'!B114</f>
        <v/>
      </c>
      <c r="C114" s="2">
        <f>'Sales Data'!C114</f>
        <v/>
      </c>
      <c r="D114" s="2">
        <f>'Sales Data'!D114</f>
        <v/>
      </c>
      <c r="E114" s="2">
        <f>'Sales Data'!E114</f>
        <v/>
      </c>
      <c r="F114" s="4">
        <f>'Sales Data'!F114</f>
        <v/>
      </c>
      <c r="G114" s="4">
        <f>'Sales Data'!G114</f>
        <v/>
      </c>
      <c r="H114" s="2">
        <f>'Sales Data'!H114</f>
        <v/>
      </c>
      <c r="I114" s="8">
        <f>IFERROR(G114/F114,0)</f>
        <v/>
      </c>
      <c r="J114" s="2">
        <f>IF(F114&gt;5000,"High","Medium")</f>
        <v/>
      </c>
    </row>
    <row r="115">
      <c r="A115" s="5">
        <f>'Sales Data'!A115</f>
        <v/>
      </c>
      <c r="B115" s="6">
        <f>'Sales Data'!B115</f>
        <v/>
      </c>
      <c r="C115" s="5">
        <f>'Sales Data'!C115</f>
        <v/>
      </c>
      <c r="D115" s="5">
        <f>'Sales Data'!D115</f>
        <v/>
      </c>
      <c r="E115" s="5">
        <f>'Sales Data'!E115</f>
        <v/>
      </c>
      <c r="F115" s="7">
        <f>'Sales Data'!F115</f>
        <v/>
      </c>
      <c r="G115" s="7">
        <f>'Sales Data'!G115</f>
        <v/>
      </c>
      <c r="H115" s="5">
        <f>'Sales Data'!H115</f>
        <v/>
      </c>
      <c r="I115" s="9">
        <f>IFERROR(G115/F115,0)</f>
        <v/>
      </c>
      <c r="J115" s="5">
        <f>IF(F115&gt;5000,"High","Medium")</f>
        <v/>
      </c>
    </row>
    <row r="116">
      <c r="A116" s="2">
        <f>'Sales Data'!A116</f>
        <v/>
      </c>
      <c r="B116" s="3">
        <f>'Sales Data'!B116</f>
        <v/>
      </c>
      <c r="C116" s="2">
        <f>'Sales Data'!C116</f>
        <v/>
      </c>
      <c r="D116" s="2">
        <f>'Sales Data'!D116</f>
        <v/>
      </c>
      <c r="E116" s="2">
        <f>'Sales Data'!E116</f>
        <v/>
      </c>
      <c r="F116" s="4">
        <f>'Sales Data'!F116</f>
        <v/>
      </c>
      <c r="G116" s="4">
        <f>'Sales Data'!G116</f>
        <v/>
      </c>
      <c r="H116" s="2">
        <f>'Sales Data'!H116</f>
        <v/>
      </c>
      <c r="I116" s="8">
        <f>IFERROR(G116/F116,0)</f>
        <v/>
      </c>
      <c r="J116" s="2">
        <f>IF(F116&gt;5000,"High","Medium")</f>
        <v/>
      </c>
    </row>
    <row r="117">
      <c r="A117" s="5">
        <f>'Sales Data'!A117</f>
        <v/>
      </c>
      <c r="B117" s="6">
        <f>'Sales Data'!B117</f>
        <v/>
      </c>
      <c r="C117" s="5">
        <f>'Sales Data'!C117</f>
        <v/>
      </c>
      <c r="D117" s="5">
        <f>'Sales Data'!D117</f>
        <v/>
      </c>
      <c r="E117" s="5">
        <f>'Sales Data'!E117</f>
        <v/>
      </c>
      <c r="F117" s="7">
        <f>'Sales Data'!F117</f>
        <v/>
      </c>
      <c r="G117" s="7">
        <f>'Sales Data'!G117</f>
        <v/>
      </c>
      <c r="H117" s="5">
        <f>'Sales Data'!H117</f>
        <v/>
      </c>
      <c r="I117" s="9">
        <f>IFERROR(G117/F117,0)</f>
        <v/>
      </c>
      <c r="J117" s="5">
        <f>IF(F117&gt;5000,"High","Medium")</f>
        <v/>
      </c>
    </row>
    <row r="118">
      <c r="A118" s="2">
        <f>'Sales Data'!A118</f>
        <v/>
      </c>
      <c r="B118" s="3">
        <f>'Sales Data'!B118</f>
        <v/>
      </c>
      <c r="C118" s="2">
        <f>'Sales Data'!C118</f>
        <v/>
      </c>
      <c r="D118" s="2">
        <f>'Sales Data'!D118</f>
        <v/>
      </c>
      <c r="E118" s="2">
        <f>'Sales Data'!E118</f>
        <v/>
      </c>
      <c r="F118" s="4">
        <f>'Sales Data'!F118</f>
        <v/>
      </c>
      <c r="G118" s="4">
        <f>'Sales Data'!G118</f>
        <v/>
      </c>
      <c r="H118" s="2">
        <f>'Sales Data'!H118</f>
        <v/>
      </c>
      <c r="I118" s="8">
        <f>IFERROR(G118/F118,0)</f>
        <v/>
      </c>
      <c r="J118" s="2">
        <f>IF(F118&gt;5000,"High","Medium")</f>
        <v/>
      </c>
    </row>
    <row r="119">
      <c r="A119" s="5">
        <f>'Sales Data'!A119</f>
        <v/>
      </c>
      <c r="B119" s="6">
        <f>'Sales Data'!B119</f>
        <v/>
      </c>
      <c r="C119" s="5">
        <f>'Sales Data'!C119</f>
        <v/>
      </c>
      <c r="D119" s="5">
        <f>'Sales Data'!D119</f>
        <v/>
      </c>
      <c r="E119" s="5">
        <f>'Sales Data'!E119</f>
        <v/>
      </c>
      <c r="F119" s="7">
        <f>'Sales Data'!F119</f>
        <v/>
      </c>
      <c r="G119" s="7">
        <f>'Sales Data'!G119</f>
        <v/>
      </c>
      <c r="H119" s="5">
        <f>'Sales Data'!H119</f>
        <v/>
      </c>
      <c r="I119" s="9">
        <f>IFERROR(G119/F119,0)</f>
        <v/>
      </c>
      <c r="J119" s="5">
        <f>IF(F119&gt;5000,"High","Medium")</f>
        <v/>
      </c>
    </row>
    <row r="120">
      <c r="A120" s="2">
        <f>'Sales Data'!A120</f>
        <v/>
      </c>
      <c r="B120" s="3">
        <f>'Sales Data'!B120</f>
        <v/>
      </c>
      <c r="C120" s="2">
        <f>'Sales Data'!C120</f>
        <v/>
      </c>
      <c r="D120" s="2">
        <f>'Sales Data'!D120</f>
        <v/>
      </c>
      <c r="E120" s="2">
        <f>'Sales Data'!E120</f>
        <v/>
      </c>
      <c r="F120" s="4">
        <f>'Sales Data'!F120</f>
        <v/>
      </c>
      <c r="G120" s="4">
        <f>'Sales Data'!G120</f>
        <v/>
      </c>
      <c r="H120" s="2">
        <f>'Sales Data'!H120</f>
        <v/>
      </c>
      <c r="I120" s="8">
        <f>IFERROR(G120/F120,0)</f>
        <v/>
      </c>
      <c r="J120" s="2">
        <f>IF(F120&gt;5000,"High","Medium")</f>
        <v/>
      </c>
    </row>
    <row r="121">
      <c r="A121" s="5">
        <f>'Sales Data'!A121</f>
        <v/>
      </c>
      <c r="B121" s="6">
        <f>'Sales Data'!B121</f>
        <v/>
      </c>
      <c r="C121" s="5">
        <f>'Sales Data'!C121</f>
        <v/>
      </c>
      <c r="D121" s="5">
        <f>'Sales Data'!D121</f>
        <v/>
      </c>
      <c r="E121" s="5">
        <f>'Sales Data'!E121</f>
        <v/>
      </c>
      <c r="F121" s="7">
        <f>'Sales Data'!F121</f>
        <v/>
      </c>
      <c r="G121" s="7">
        <f>'Sales Data'!G121</f>
        <v/>
      </c>
      <c r="H121" s="5">
        <f>'Sales Data'!H121</f>
        <v/>
      </c>
      <c r="I121" s="9">
        <f>IFERROR(G121/F121,0)</f>
        <v/>
      </c>
      <c r="J121" s="5">
        <f>IF(F121&gt;5000,"High","Medium")</f>
        <v/>
      </c>
    </row>
    <row r="122">
      <c r="A122" s="2">
        <f>'Sales Data'!A122</f>
        <v/>
      </c>
      <c r="B122" s="3">
        <f>'Sales Data'!B122</f>
        <v/>
      </c>
      <c r="C122" s="2">
        <f>'Sales Data'!C122</f>
        <v/>
      </c>
      <c r="D122" s="2">
        <f>'Sales Data'!D122</f>
        <v/>
      </c>
      <c r="E122" s="2">
        <f>'Sales Data'!E122</f>
        <v/>
      </c>
      <c r="F122" s="4">
        <f>'Sales Data'!F122</f>
        <v/>
      </c>
      <c r="G122" s="4">
        <f>'Sales Data'!G122</f>
        <v/>
      </c>
      <c r="H122" s="2">
        <f>'Sales Data'!H122</f>
        <v/>
      </c>
      <c r="I122" s="8">
        <f>IFERROR(G122/F122,0)</f>
        <v/>
      </c>
      <c r="J122" s="2">
        <f>IF(F122&gt;5000,"High","Medium")</f>
        <v/>
      </c>
    </row>
    <row r="123">
      <c r="A123" s="5">
        <f>'Sales Data'!A123</f>
        <v/>
      </c>
      <c r="B123" s="6">
        <f>'Sales Data'!B123</f>
        <v/>
      </c>
      <c r="C123" s="5">
        <f>'Sales Data'!C123</f>
        <v/>
      </c>
      <c r="D123" s="5">
        <f>'Sales Data'!D123</f>
        <v/>
      </c>
      <c r="E123" s="5">
        <f>'Sales Data'!E123</f>
        <v/>
      </c>
      <c r="F123" s="7">
        <f>'Sales Data'!F123</f>
        <v/>
      </c>
      <c r="G123" s="7">
        <f>'Sales Data'!G123</f>
        <v/>
      </c>
      <c r="H123" s="5">
        <f>'Sales Data'!H123</f>
        <v/>
      </c>
      <c r="I123" s="9">
        <f>IFERROR(G123/F123,0)</f>
        <v/>
      </c>
      <c r="J123" s="5">
        <f>IF(F123&gt;5000,"High","Medium")</f>
        <v/>
      </c>
    </row>
    <row r="124">
      <c r="A124" s="2">
        <f>'Sales Data'!A124</f>
        <v/>
      </c>
      <c r="B124" s="3">
        <f>'Sales Data'!B124</f>
        <v/>
      </c>
      <c r="C124" s="2">
        <f>'Sales Data'!C124</f>
        <v/>
      </c>
      <c r="D124" s="2">
        <f>'Sales Data'!D124</f>
        <v/>
      </c>
      <c r="E124" s="2">
        <f>'Sales Data'!E124</f>
        <v/>
      </c>
      <c r="F124" s="4">
        <f>'Sales Data'!F124</f>
        <v/>
      </c>
      <c r="G124" s="4">
        <f>'Sales Data'!G124</f>
        <v/>
      </c>
      <c r="H124" s="2">
        <f>'Sales Data'!H124</f>
        <v/>
      </c>
      <c r="I124" s="8">
        <f>IFERROR(G124/F124,0)</f>
        <v/>
      </c>
      <c r="J124" s="2">
        <f>IF(F124&gt;5000,"High","Medium")</f>
        <v/>
      </c>
    </row>
    <row r="125">
      <c r="A125" s="5">
        <f>'Sales Data'!A125</f>
        <v/>
      </c>
      <c r="B125" s="6">
        <f>'Sales Data'!B125</f>
        <v/>
      </c>
      <c r="C125" s="5">
        <f>'Sales Data'!C125</f>
        <v/>
      </c>
      <c r="D125" s="5">
        <f>'Sales Data'!D125</f>
        <v/>
      </c>
      <c r="E125" s="5">
        <f>'Sales Data'!E125</f>
        <v/>
      </c>
      <c r="F125" s="7">
        <f>'Sales Data'!F125</f>
        <v/>
      </c>
      <c r="G125" s="7">
        <f>'Sales Data'!G125</f>
        <v/>
      </c>
      <c r="H125" s="5">
        <f>'Sales Data'!H125</f>
        <v/>
      </c>
      <c r="I125" s="9">
        <f>IFERROR(G125/F125,0)</f>
        <v/>
      </c>
      <c r="J125" s="5">
        <f>IF(F125&gt;5000,"High","Medium")</f>
        <v/>
      </c>
    </row>
    <row r="126">
      <c r="A126" s="2">
        <f>'Sales Data'!A126</f>
        <v/>
      </c>
      <c r="B126" s="3">
        <f>'Sales Data'!B126</f>
        <v/>
      </c>
      <c r="C126" s="2">
        <f>'Sales Data'!C126</f>
        <v/>
      </c>
      <c r="D126" s="2">
        <f>'Sales Data'!D126</f>
        <v/>
      </c>
      <c r="E126" s="2">
        <f>'Sales Data'!E126</f>
        <v/>
      </c>
      <c r="F126" s="4">
        <f>'Sales Data'!F126</f>
        <v/>
      </c>
      <c r="G126" s="4">
        <f>'Sales Data'!G126</f>
        <v/>
      </c>
      <c r="H126" s="2">
        <f>'Sales Data'!H126</f>
        <v/>
      </c>
      <c r="I126" s="8">
        <f>IFERROR(G126/F126,0)</f>
        <v/>
      </c>
      <c r="J126" s="2">
        <f>IF(F126&gt;5000,"High","Medium")</f>
        <v/>
      </c>
    </row>
    <row r="127">
      <c r="A127" s="5">
        <f>'Sales Data'!A127</f>
        <v/>
      </c>
      <c r="B127" s="6">
        <f>'Sales Data'!B127</f>
        <v/>
      </c>
      <c r="C127" s="5">
        <f>'Sales Data'!C127</f>
        <v/>
      </c>
      <c r="D127" s="5">
        <f>'Sales Data'!D127</f>
        <v/>
      </c>
      <c r="E127" s="5">
        <f>'Sales Data'!E127</f>
        <v/>
      </c>
      <c r="F127" s="7">
        <f>'Sales Data'!F127</f>
        <v/>
      </c>
      <c r="G127" s="7">
        <f>'Sales Data'!G127</f>
        <v/>
      </c>
      <c r="H127" s="5">
        <f>'Sales Data'!H127</f>
        <v/>
      </c>
      <c r="I127" s="9">
        <f>IFERROR(G127/F127,0)</f>
        <v/>
      </c>
      <c r="J127" s="5">
        <f>IF(F127&gt;5000,"High","Medium")</f>
        <v/>
      </c>
    </row>
    <row r="128">
      <c r="A128" s="2">
        <f>'Sales Data'!A128</f>
        <v/>
      </c>
      <c r="B128" s="3">
        <f>'Sales Data'!B128</f>
        <v/>
      </c>
      <c r="C128" s="2">
        <f>'Sales Data'!C128</f>
        <v/>
      </c>
      <c r="D128" s="2">
        <f>'Sales Data'!D128</f>
        <v/>
      </c>
      <c r="E128" s="2">
        <f>'Sales Data'!E128</f>
        <v/>
      </c>
      <c r="F128" s="4">
        <f>'Sales Data'!F128</f>
        <v/>
      </c>
      <c r="G128" s="4">
        <f>'Sales Data'!G128</f>
        <v/>
      </c>
      <c r="H128" s="2">
        <f>'Sales Data'!H128</f>
        <v/>
      </c>
      <c r="I128" s="8">
        <f>IFERROR(G128/F128,0)</f>
        <v/>
      </c>
      <c r="J128" s="2">
        <f>IF(F128&gt;5000,"High","Medium")</f>
        <v/>
      </c>
    </row>
    <row r="129">
      <c r="A129" s="5">
        <f>'Sales Data'!A129</f>
        <v/>
      </c>
      <c r="B129" s="6">
        <f>'Sales Data'!B129</f>
        <v/>
      </c>
      <c r="C129" s="5">
        <f>'Sales Data'!C129</f>
        <v/>
      </c>
      <c r="D129" s="5">
        <f>'Sales Data'!D129</f>
        <v/>
      </c>
      <c r="E129" s="5">
        <f>'Sales Data'!E129</f>
        <v/>
      </c>
      <c r="F129" s="7">
        <f>'Sales Data'!F129</f>
        <v/>
      </c>
      <c r="G129" s="7">
        <f>'Sales Data'!G129</f>
        <v/>
      </c>
      <c r="H129" s="5">
        <f>'Sales Data'!H129</f>
        <v/>
      </c>
      <c r="I129" s="9">
        <f>IFERROR(G129/F129,0)</f>
        <v/>
      </c>
      <c r="J129" s="5">
        <f>IF(F129&gt;5000,"High","Medium")</f>
        <v/>
      </c>
    </row>
    <row r="130">
      <c r="A130" s="2">
        <f>'Sales Data'!A130</f>
        <v/>
      </c>
      <c r="B130" s="3">
        <f>'Sales Data'!B130</f>
        <v/>
      </c>
      <c r="C130" s="2">
        <f>'Sales Data'!C130</f>
        <v/>
      </c>
      <c r="D130" s="2">
        <f>'Sales Data'!D130</f>
        <v/>
      </c>
      <c r="E130" s="2">
        <f>'Sales Data'!E130</f>
        <v/>
      </c>
      <c r="F130" s="4">
        <f>'Sales Data'!F130</f>
        <v/>
      </c>
      <c r="G130" s="4">
        <f>'Sales Data'!G130</f>
        <v/>
      </c>
      <c r="H130" s="2">
        <f>'Sales Data'!H130</f>
        <v/>
      </c>
      <c r="I130" s="8">
        <f>IFERROR(G130/F130,0)</f>
        <v/>
      </c>
      <c r="J130" s="2">
        <f>IF(F130&gt;5000,"High","Medium")</f>
        <v/>
      </c>
    </row>
    <row r="131">
      <c r="A131" s="5">
        <f>'Sales Data'!A131</f>
        <v/>
      </c>
      <c r="B131" s="6">
        <f>'Sales Data'!B131</f>
        <v/>
      </c>
      <c r="C131" s="5">
        <f>'Sales Data'!C131</f>
        <v/>
      </c>
      <c r="D131" s="5">
        <f>'Sales Data'!D131</f>
        <v/>
      </c>
      <c r="E131" s="5">
        <f>'Sales Data'!E131</f>
        <v/>
      </c>
      <c r="F131" s="7">
        <f>'Sales Data'!F131</f>
        <v/>
      </c>
      <c r="G131" s="7">
        <f>'Sales Data'!G131</f>
        <v/>
      </c>
      <c r="H131" s="5">
        <f>'Sales Data'!H131</f>
        <v/>
      </c>
      <c r="I131" s="9">
        <f>IFERROR(G131/F131,0)</f>
        <v/>
      </c>
      <c r="J131" s="5">
        <f>IF(F131&gt;5000,"High","Medium")</f>
        <v/>
      </c>
    </row>
    <row r="132">
      <c r="A132" s="2">
        <f>'Sales Data'!A132</f>
        <v/>
      </c>
      <c r="B132" s="3">
        <f>'Sales Data'!B132</f>
        <v/>
      </c>
      <c r="C132" s="2">
        <f>'Sales Data'!C132</f>
        <v/>
      </c>
      <c r="D132" s="2">
        <f>'Sales Data'!D132</f>
        <v/>
      </c>
      <c r="E132" s="2">
        <f>'Sales Data'!E132</f>
        <v/>
      </c>
      <c r="F132" s="4">
        <f>'Sales Data'!F132</f>
        <v/>
      </c>
      <c r="G132" s="4">
        <f>'Sales Data'!G132</f>
        <v/>
      </c>
      <c r="H132" s="2">
        <f>'Sales Data'!H132</f>
        <v/>
      </c>
      <c r="I132" s="8">
        <f>IFERROR(G132/F132,0)</f>
        <v/>
      </c>
      <c r="J132" s="2">
        <f>IF(F132&gt;5000,"High","Medium")</f>
        <v/>
      </c>
    </row>
    <row r="133">
      <c r="A133" s="5">
        <f>'Sales Data'!A133</f>
        <v/>
      </c>
      <c r="B133" s="6">
        <f>'Sales Data'!B133</f>
        <v/>
      </c>
      <c r="C133" s="5">
        <f>'Sales Data'!C133</f>
        <v/>
      </c>
      <c r="D133" s="5">
        <f>'Sales Data'!D133</f>
        <v/>
      </c>
      <c r="E133" s="5">
        <f>'Sales Data'!E133</f>
        <v/>
      </c>
      <c r="F133" s="7">
        <f>'Sales Data'!F133</f>
        <v/>
      </c>
      <c r="G133" s="7">
        <f>'Sales Data'!G133</f>
        <v/>
      </c>
      <c r="H133" s="5">
        <f>'Sales Data'!H133</f>
        <v/>
      </c>
      <c r="I133" s="9">
        <f>IFERROR(G133/F133,0)</f>
        <v/>
      </c>
      <c r="J133" s="5">
        <f>IF(F133&gt;5000,"High","Medium")</f>
        <v/>
      </c>
    </row>
    <row r="134">
      <c r="A134" s="2">
        <f>'Sales Data'!A134</f>
        <v/>
      </c>
      <c r="B134" s="3">
        <f>'Sales Data'!B134</f>
        <v/>
      </c>
      <c r="C134" s="2">
        <f>'Sales Data'!C134</f>
        <v/>
      </c>
      <c r="D134" s="2">
        <f>'Sales Data'!D134</f>
        <v/>
      </c>
      <c r="E134" s="2">
        <f>'Sales Data'!E134</f>
        <v/>
      </c>
      <c r="F134" s="4">
        <f>'Sales Data'!F134</f>
        <v/>
      </c>
      <c r="G134" s="4">
        <f>'Sales Data'!G134</f>
        <v/>
      </c>
      <c r="H134" s="2">
        <f>'Sales Data'!H134</f>
        <v/>
      </c>
      <c r="I134" s="8">
        <f>IFERROR(G134/F134,0)</f>
        <v/>
      </c>
      <c r="J134" s="2">
        <f>IF(F134&gt;5000,"High","Medium")</f>
        <v/>
      </c>
    </row>
    <row r="135">
      <c r="A135" s="5">
        <f>'Sales Data'!A135</f>
        <v/>
      </c>
      <c r="B135" s="6">
        <f>'Sales Data'!B135</f>
        <v/>
      </c>
      <c r="C135" s="5">
        <f>'Sales Data'!C135</f>
        <v/>
      </c>
      <c r="D135" s="5">
        <f>'Sales Data'!D135</f>
        <v/>
      </c>
      <c r="E135" s="5">
        <f>'Sales Data'!E135</f>
        <v/>
      </c>
      <c r="F135" s="7">
        <f>'Sales Data'!F135</f>
        <v/>
      </c>
      <c r="G135" s="7">
        <f>'Sales Data'!G135</f>
        <v/>
      </c>
      <c r="H135" s="5">
        <f>'Sales Data'!H135</f>
        <v/>
      </c>
      <c r="I135" s="9">
        <f>IFERROR(G135/F135,0)</f>
        <v/>
      </c>
      <c r="J135" s="5">
        <f>IF(F135&gt;5000,"High","Medium")</f>
        <v/>
      </c>
    </row>
    <row r="136">
      <c r="A136" s="2">
        <f>'Sales Data'!A136</f>
        <v/>
      </c>
      <c r="B136" s="3">
        <f>'Sales Data'!B136</f>
        <v/>
      </c>
      <c r="C136" s="2">
        <f>'Sales Data'!C136</f>
        <v/>
      </c>
      <c r="D136" s="2">
        <f>'Sales Data'!D136</f>
        <v/>
      </c>
      <c r="E136" s="2">
        <f>'Sales Data'!E136</f>
        <v/>
      </c>
      <c r="F136" s="4">
        <f>'Sales Data'!F136</f>
        <v/>
      </c>
      <c r="G136" s="4">
        <f>'Sales Data'!G136</f>
        <v/>
      </c>
      <c r="H136" s="2">
        <f>'Sales Data'!H136</f>
        <v/>
      </c>
      <c r="I136" s="8">
        <f>IFERROR(G136/F136,0)</f>
        <v/>
      </c>
      <c r="J136" s="2">
        <f>IF(F136&gt;5000,"High","Medium")</f>
        <v/>
      </c>
    </row>
    <row r="137">
      <c r="A137" s="5">
        <f>'Sales Data'!A137</f>
        <v/>
      </c>
      <c r="B137" s="6">
        <f>'Sales Data'!B137</f>
        <v/>
      </c>
      <c r="C137" s="5">
        <f>'Sales Data'!C137</f>
        <v/>
      </c>
      <c r="D137" s="5">
        <f>'Sales Data'!D137</f>
        <v/>
      </c>
      <c r="E137" s="5">
        <f>'Sales Data'!E137</f>
        <v/>
      </c>
      <c r="F137" s="7">
        <f>'Sales Data'!F137</f>
        <v/>
      </c>
      <c r="G137" s="7">
        <f>'Sales Data'!G137</f>
        <v/>
      </c>
      <c r="H137" s="5">
        <f>'Sales Data'!H137</f>
        <v/>
      </c>
      <c r="I137" s="9">
        <f>IFERROR(G137/F137,0)</f>
        <v/>
      </c>
      <c r="J137" s="5">
        <f>IF(F137&gt;5000,"High","Medium")</f>
        <v/>
      </c>
    </row>
    <row r="138">
      <c r="A138" s="2">
        <f>'Sales Data'!A138</f>
        <v/>
      </c>
      <c r="B138" s="3">
        <f>'Sales Data'!B138</f>
        <v/>
      </c>
      <c r="C138" s="2">
        <f>'Sales Data'!C138</f>
        <v/>
      </c>
      <c r="D138" s="2">
        <f>'Sales Data'!D138</f>
        <v/>
      </c>
      <c r="E138" s="2">
        <f>'Sales Data'!E138</f>
        <v/>
      </c>
      <c r="F138" s="4">
        <f>'Sales Data'!F138</f>
        <v/>
      </c>
      <c r="G138" s="4">
        <f>'Sales Data'!G138</f>
        <v/>
      </c>
      <c r="H138" s="2">
        <f>'Sales Data'!H138</f>
        <v/>
      </c>
      <c r="I138" s="8">
        <f>IFERROR(G138/F138,0)</f>
        <v/>
      </c>
      <c r="J138" s="2">
        <f>IF(F138&gt;5000,"High","Medium")</f>
        <v/>
      </c>
    </row>
    <row r="139">
      <c r="A139" s="5">
        <f>'Sales Data'!A139</f>
        <v/>
      </c>
      <c r="B139" s="6">
        <f>'Sales Data'!B139</f>
        <v/>
      </c>
      <c r="C139" s="5">
        <f>'Sales Data'!C139</f>
        <v/>
      </c>
      <c r="D139" s="5">
        <f>'Sales Data'!D139</f>
        <v/>
      </c>
      <c r="E139" s="5">
        <f>'Sales Data'!E139</f>
        <v/>
      </c>
      <c r="F139" s="7">
        <f>'Sales Data'!F139</f>
        <v/>
      </c>
      <c r="G139" s="7">
        <f>'Sales Data'!G139</f>
        <v/>
      </c>
      <c r="H139" s="5">
        <f>'Sales Data'!H139</f>
        <v/>
      </c>
      <c r="I139" s="9">
        <f>IFERROR(G139/F139,0)</f>
        <v/>
      </c>
      <c r="J139" s="5">
        <f>IF(F139&gt;5000,"High","Medium")</f>
        <v/>
      </c>
    </row>
    <row r="140">
      <c r="A140" s="2">
        <f>'Sales Data'!A140</f>
        <v/>
      </c>
      <c r="B140" s="3">
        <f>'Sales Data'!B140</f>
        <v/>
      </c>
      <c r="C140" s="2">
        <f>'Sales Data'!C140</f>
        <v/>
      </c>
      <c r="D140" s="2">
        <f>'Sales Data'!D140</f>
        <v/>
      </c>
      <c r="E140" s="2">
        <f>'Sales Data'!E140</f>
        <v/>
      </c>
      <c r="F140" s="4">
        <f>'Sales Data'!F140</f>
        <v/>
      </c>
      <c r="G140" s="4">
        <f>'Sales Data'!G140</f>
        <v/>
      </c>
      <c r="H140" s="2">
        <f>'Sales Data'!H140</f>
        <v/>
      </c>
      <c r="I140" s="8">
        <f>IFERROR(G140/F140,0)</f>
        <v/>
      </c>
      <c r="J140" s="2">
        <f>IF(F140&gt;5000,"High","Medium")</f>
        <v/>
      </c>
    </row>
    <row r="141">
      <c r="A141" s="5">
        <f>'Sales Data'!A141</f>
        <v/>
      </c>
      <c r="B141" s="6">
        <f>'Sales Data'!B141</f>
        <v/>
      </c>
      <c r="C141" s="5">
        <f>'Sales Data'!C141</f>
        <v/>
      </c>
      <c r="D141" s="5">
        <f>'Sales Data'!D141</f>
        <v/>
      </c>
      <c r="E141" s="5">
        <f>'Sales Data'!E141</f>
        <v/>
      </c>
      <c r="F141" s="7">
        <f>'Sales Data'!F141</f>
        <v/>
      </c>
      <c r="G141" s="7">
        <f>'Sales Data'!G141</f>
        <v/>
      </c>
      <c r="H141" s="5">
        <f>'Sales Data'!H141</f>
        <v/>
      </c>
      <c r="I141" s="9">
        <f>IFERROR(G141/F141,0)</f>
        <v/>
      </c>
      <c r="J141" s="5">
        <f>IF(F141&gt;5000,"High","Medium")</f>
        <v/>
      </c>
    </row>
    <row r="142">
      <c r="A142" s="2">
        <f>'Sales Data'!A142</f>
        <v/>
      </c>
      <c r="B142" s="3">
        <f>'Sales Data'!B142</f>
        <v/>
      </c>
      <c r="C142" s="2">
        <f>'Sales Data'!C142</f>
        <v/>
      </c>
      <c r="D142" s="2">
        <f>'Sales Data'!D142</f>
        <v/>
      </c>
      <c r="E142" s="2">
        <f>'Sales Data'!E142</f>
        <v/>
      </c>
      <c r="F142" s="4">
        <f>'Sales Data'!F142</f>
        <v/>
      </c>
      <c r="G142" s="4">
        <f>'Sales Data'!G142</f>
        <v/>
      </c>
      <c r="H142" s="2">
        <f>'Sales Data'!H142</f>
        <v/>
      </c>
      <c r="I142" s="8">
        <f>IFERROR(G142/F142,0)</f>
        <v/>
      </c>
      <c r="J142" s="2">
        <f>IF(F142&gt;5000,"High","Medium")</f>
        <v/>
      </c>
    </row>
    <row r="143">
      <c r="A143" s="5">
        <f>'Sales Data'!A143</f>
        <v/>
      </c>
      <c r="B143" s="6">
        <f>'Sales Data'!B143</f>
        <v/>
      </c>
      <c r="C143" s="5">
        <f>'Sales Data'!C143</f>
        <v/>
      </c>
      <c r="D143" s="5">
        <f>'Sales Data'!D143</f>
        <v/>
      </c>
      <c r="E143" s="5">
        <f>'Sales Data'!E143</f>
        <v/>
      </c>
      <c r="F143" s="7">
        <f>'Sales Data'!F143</f>
        <v/>
      </c>
      <c r="G143" s="7">
        <f>'Sales Data'!G143</f>
        <v/>
      </c>
      <c r="H143" s="5">
        <f>'Sales Data'!H143</f>
        <v/>
      </c>
      <c r="I143" s="9">
        <f>IFERROR(G143/F143,0)</f>
        <v/>
      </c>
      <c r="J143" s="5">
        <f>IF(F143&gt;5000,"High","Medium")</f>
        <v/>
      </c>
    </row>
    <row r="144">
      <c r="A144" s="2">
        <f>'Sales Data'!A144</f>
        <v/>
      </c>
      <c r="B144" s="3">
        <f>'Sales Data'!B144</f>
        <v/>
      </c>
      <c r="C144" s="2">
        <f>'Sales Data'!C144</f>
        <v/>
      </c>
      <c r="D144" s="2">
        <f>'Sales Data'!D144</f>
        <v/>
      </c>
      <c r="E144" s="2">
        <f>'Sales Data'!E144</f>
        <v/>
      </c>
      <c r="F144" s="4">
        <f>'Sales Data'!F144</f>
        <v/>
      </c>
      <c r="G144" s="4">
        <f>'Sales Data'!G144</f>
        <v/>
      </c>
      <c r="H144" s="2">
        <f>'Sales Data'!H144</f>
        <v/>
      </c>
      <c r="I144" s="8">
        <f>IFERROR(G144/F144,0)</f>
        <v/>
      </c>
      <c r="J144" s="2">
        <f>IF(F144&gt;5000,"High","Medium")</f>
        <v/>
      </c>
    </row>
    <row r="145">
      <c r="A145" s="5">
        <f>'Sales Data'!A145</f>
        <v/>
      </c>
      <c r="B145" s="6">
        <f>'Sales Data'!B145</f>
        <v/>
      </c>
      <c r="C145" s="5">
        <f>'Sales Data'!C145</f>
        <v/>
      </c>
      <c r="D145" s="5">
        <f>'Sales Data'!D145</f>
        <v/>
      </c>
      <c r="E145" s="5">
        <f>'Sales Data'!E145</f>
        <v/>
      </c>
      <c r="F145" s="7">
        <f>'Sales Data'!F145</f>
        <v/>
      </c>
      <c r="G145" s="7">
        <f>'Sales Data'!G145</f>
        <v/>
      </c>
      <c r="H145" s="5">
        <f>'Sales Data'!H145</f>
        <v/>
      </c>
      <c r="I145" s="9">
        <f>IFERROR(G145/F145,0)</f>
        <v/>
      </c>
      <c r="J145" s="5">
        <f>IF(F145&gt;5000,"High","Medium")</f>
        <v/>
      </c>
    </row>
    <row r="146">
      <c r="A146" s="2">
        <f>'Sales Data'!A146</f>
        <v/>
      </c>
      <c r="B146" s="3">
        <f>'Sales Data'!B146</f>
        <v/>
      </c>
      <c r="C146" s="2">
        <f>'Sales Data'!C146</f>
        <v/>
      </c>
      <c r="D146" s="2">
        <f>'Sales Data'!D146</f>
        <v/>
      </c>
      <c r="E146" s="2">
        <f>'Sales Data'!E146</f>
        <v/>
      </c>
      <c r="F146" s="4">
        <f>'Sales Data'!F146</f>
        <v/>
      </c>
      <c r="G146" s="4">
        <f>'Sales Data'!G146</f>
        <v/>
      </c>
      <c r="H146" s="2">
        <f>'Sales Data'!H146</f>
        <v/>
      </c>
      <c r="I146" s="8">
        <f>IFERROR(G146/F146,0)</f>
        <v/>
      </c>
      <c r="J146" s="2">
        <f>IF(F146&gt;5000,"High","Medium")</f>
        <v/>
      </c>
    </row>
    <row r="147">
      <c r="A147" s="5">
        <f>'Sales Data'!A147</f>
        <v/>
      </c>
      <c r="B147" s="6">
        <f>'Sales Data'!B147</f>
        <v/>
      </c>
      <c r="C147" s="5">
        <f>'Sales Data'!C147</f>
        <v/>
      </c>
      <c r="D147" s="5">
        <f>'Sales Data'!D147</f>
        <v/>
      </c>
      <c r="E147" s="5">
        <f>'Sales Data'!E147</f>
        <v/>
      </c>
      <c r="F147" s="7">
        <f>'Sales Data'!F147</f>
        <v/>
      </c>
      <c r="G147" s="7">
        <f>'Sales Data'!G147</f>
        <v/>
      </c>
      <c r="H147" s="5">
        <f>'Sales Data'!H147</f>
        <v/>
      </c>
      <c r="I147" s="9">
        <f>IFERROR(G147/F147,0)</f>
        <v/>
      </c>
      <c r="J147" s="5">
        <f>IF(F147&gt;5000,"High","Medium")</f>
        <v/>
      </c>
    </row>
    <row r="148">
      <c r="A148" s="2">
        <f>'Sales Data'!A148</f>
        <v/>
      </c>
      <c r="B148" s="3">
        <f>'Sales Data'!B148</f>
        <v/>
      </c>
      <c r="C148" s="2">
        <f>'Sales Data'!C148</f>
        <v/>
      </c>
      <c r="D148" s="2">
        <f>'Sales Data'!D148</f>
        <v/>
      </c>
      <c r="E148" s="2">
        <f>'Sales Data'!E148</f>
        <v/>
      </c>
      <c r="F148" s="4">
        <f>'Sales Data'!F148</f>
        <v/>
      </c>
      <c r="G148" s="4">
        <f>'Sales Data'!G148</f>
        <v/>
      </c>
      <c r="H148" s="2">
        <f>'Sales Data'!H148</f>
        <v/>
      </c>
      <c r="I148" s="8">
        <f>IFERROR(G148/F148,0)</f>
        <v/>
      </c>
      <c r="J148" s="2">
        <f>IF(F148&gt;5000,"High","Medium")</f>
        <v/>
      </c>
    </row>
    <row r="149">
      <c r="A149" s="5">
        <f>'Sales Data'!A149</f>
        <v/>
      </c>
      <c r="B149" s="6">
        <f>'Sales Data'!B149</f>
        <v/>
      </c>
      <c r="C149" s="5">
        <f>'Sales Data'!C149</f>
        <v/>
      </c>
      <c r="D149" s="5">
        <f>'Sales Data'!D149</f>
        <v/>
      </c>
      <c r="E149" s="5">
        <f>'Sales Data'!E149</f>
        <v/>
      </c>
      <c r="F149" s="7">
        <f>'Sales Data'!F149</f>
        <v/>
      </c>
      <c r="G149" s="7">
        <f>'Sales Data'!G149</f>
        <v/>
      </c>
      <c r="H149" s="5">
        <f>'Sales Data'!H149</f>
        <v/>
      </c>
      <c r="I149" s="9">
        <f>IFERROR(G149/F149,0)</f>
        <v/>
      </c>
      <c r="J149" s="5">
        <f>IF(F149&gt;5000,"High","Medium")</f>
        <v/>
      </c>
    </row>
    <row r="150">
      <c r="A150" s="2">
        <f>'Sales Data'!A150</f>
        <v/>
      </c>
      <c r="B150" s="3">
        <f>'Sales Data'!B150</f>
        <v/>
      </c>
      <c r="C150" s="2">
        <f>'Sales Data'!C150</f>
        <v/>
      </c>
      <c r="D150" s="2">
        <f>'Sales Data'!D150</f>
        <v/>
      </c>
      <c r="E150" s="2">
        <f>'Sales Data'!E150</f>
        <v/>
      </c>
      <c r="F150" s="4">
        <f>'Sales Data'!F150</f>
        <v/>
      </c>
      <c r="G150" s="4">
        <f>'Sales Data'!G150</f>
        <v/>
      </c>
      <c r="H150" s="2">
        <f>'Sales Data'!H150</f>
        <v/>
      </c>
      <c r="I150" s="8">
        <f>IFERROR(G150/F150,0)</f>
        <v/>
      </c>
      <c r="J150" s="2">
        <f>IF(F150&gt;5000,"High","Medium")</f>
        <v/>
      </c>
    </row>
    <row r="151">
      <c r="A151" s="5">
        <f>'Sales Data'!A151</f>
        <v/>
      </c>
      <c r="B151" s="6">
        <f>'Sales Data'!B151</f>
        <v/>
      </c>
      <c r="C151" s="5">
        <f>'Sales Data'!C151</f>
        <v/>
      </c>
      <c r="D151" s="5">
        <f>'Sales Data'!D151</f>
        <v/>
      </c>
      <c r="E151" s="5">
        <f>'Sales Data'!E151</f>
        <v/>
      </c>
      <c r="F151" s="7">
        <f>'Sales Data'!F151</f>
        <v/>
      </c>
      <c r="G151" s="7">
        <f>'Sales Data'!G151</f>
        <v/>
      </c>
      <c r="H151" s="5">
        <f>'Sales Data'!H151</f>
        <v/>
      </c>
      <c r="I151" s="9">
        <f>IFERROR(G151/F151,0)</f>
        <v/>
      </c>
      <c r="J151" s="5">
        <f>IF(F151&gt;5000,"High","Medium")</f>
        <v/>
      </c>
    </row>
    <row r="152">
      <c r="A152" s="2">
        <f>'Sales Data'!A152</f>
        <v/>
      </c>
      <c r="B152" s="3">
        <f>'Sales Data'!B152</f>
        <v/>
      </c>
      <c r="C152" s="2">
        <f>'Sales Data'!C152</f>
        <v/>
      </c>
      <c r="D152" s="2">
        <f>'Sales Data'!D152</f>
        <v/>
      </c>
      <c r="E152" s="2">
        <f>'Sales Data'!E152</f>
        <v/>
      </c>
      <c r="F152" s="4">
        <f>'Sales Data'!F152</f>
        <v/>
      </c>
      <c r="G152" s="4">
        <f>'Sales Data'!G152</f>
        <v/>
      </c>
      <c r="H152" s="2">
        <f>'Sales Data'!H152</f>
        <v/>
      </c>
      <c r="I152" s="8">
        <f>IFERROR(G152/F152,0)</f>
        <v/>
      </c>
      <c r="J152" s="2">
        <f>IF(F152&gt;5000,"High","Medium")</f>
        <v/>
      </c>
    </row>
    <row r="153">
      <c r="A153" s="5">
        <f>'Sales Data'!A153</f>
        <v/>
      </c>
      <c r="B153" s="6">
        <f>'Sales Data'!B153</f>
        <v/>
      </c>
      <c r="C153" s="5">
        <f>'Sales Data'!C153</f>
        <v/>
      </c>
      <c r="D153" s="5">
        <f>'Sales Data'!D153</f>
        <v/>
      </c>
      <c r="E153" s="5">
        <f>'Sales Data'!E153</f>
        <v/>
      </c>
      <c r="F153" s="7">
        <f>'Sales Data'!F153</f>
        <v/>
      </c>
      <c r="G153" s="7">
        <f>'Sales Data'!G153</f>
        <v/>
      </c>
      <c r="H153" s="5">
        <f>'Sales Data'!H153</f>
        <v/>
      </c>
      <c r="I153" s="9">
        <f>IFERROR(G153/F153,0)</f>
        <v/>
      </c>
      <c r="J153" s="5">
        <f>IF(F153&gt;5000,"High","Medium")</f>
        <v/>
      </c>
    </row>
    <row r="154">
      <c r="A154" s="2">
        <f>'Sales Data'!A154</f>
        <v/>
      </c>
      <c r="B154" s="3">
        <f>'Sales Data'!B154</f>
        <v/>
      </c>
      <c r="C154" s="2">
        <f>'Sales Data'!C154</f>
        <v/>
      </c>
      <c r="D154" s="2">
        <f>'Sales Data'!D154</f>
        <v/>
      </c>
      <c r="E154" s="2">
        <f>'Sales Data'!E154</f>
        <v/>
      </c>
      <c r="F154" s="4">
        <f>'Sales Data'!F154</f>
        <v/>
      </c>
      <c r="G154" s="4">
        <f>'Sales Data'!G154</f>
        <v/>
      </c>
      <c r="H154" s="2">
        <f>'Sales Data'!H154</f>
        <v/>
      </c>
      <c r="I154" s="8">
        <f>IFERROR(G154/F154,0)</f>
        <v/>
      </c>
      <c r="J154" s="2">
        <f>IF(F154&gt;5000,"High","Medium")</f>
        <v/>
      </c>
    </row>
    <row r="155">
      <c r="A155" s="5">
        <f>'Sales Data'!A155</f>
        <v/>
      </c>
      <c r="B155" s="6">
        <f>'Sales Data'!B155</f>
        <v/>
      </c>
      <c r="C155" s="5">
        <f>'Sales Data'!C155</f>
        <v/>
      </c>
      <c r="D155" s="5">
        <f>'Sales Data'!D155</f>
        <v/>
      </c>
      <c r="E155" s="5">
        <f>'Sales Data'!E155</f>
        <v/>
      </c>
      <c r="F155" s="7">
        <f>'Sales Data'!F155</f>
        <v/>
      </c>
      <c r="G155" s="7">
        <f>'Sales Data'!G155</f>
        <v/>
      </c>
      <c r="H155" s="5">
        <f>'Sales Data'!H155</f>
        <v/>
      </c>
      <c r="I155" s="9">
        <f>IFERROR(G155/F155,0)</f>
        <v/>
      </c>
      <c r="J155" s="5">
        <f>IF(F155&gt;5000,"High","Medium")</f>
        <v/>
      </c>
    </row>
    <row r="156">
      <c r="A156" s="2">
        <f>'Sales Data'!A156</f>
        <v/>
      </c>
      <c r="B156" s="3">
        <f>'Sales Data'!B156</f>
        <v/>
      </c>
      <c r="C156" s="2">
        <f>'Sales Data'!C156</f>
        <v/>
      </c>
      <c r="D156" s="2">
        <f>'Sales Data'!D156</f>
        <v/>
      </c>
      <c r="E156" s="2">
        <f>'Sales Data'!E156</f>
        <v/>
      </c>
      <c r="F156" s="4">
        <f>'Sales Data'!F156</f>
        <v/>
      </c>
      <c r="G156" s="4">
        <f>'Sales Data'!G156</f>
        <v/>
      </c>
      <c r="H156" s="2">
        <f>'Sales Data'!H156</f>
        <v/>
      </c>
      <c r="I156" s="8">
        <f>IFERROR(G156/F156,0)</f>
        <v/>
      </c>
      <c r="J156" s="2">
        <f>IF(F156&gt;5000,"High","Medium")</f>
        <v/>
      </c>
    </row>
    <row r="157">
      <c r="A157" s="5">
        <f>'Sales Data'!A157</f>
        <v/>
      </c>
      <c r="B157" s="6">
        <f>'Sales Data'!B157</f>
        <v/>
      </c>
      <c r="C157" s="5">
        <f>'Sales Data'!C157</f>
        <v/>
      </c>
      <c r="D157" s="5">
        <f>'Sales Data'!D157</f>
        <v/>
      </c>
      <c r="E157" s="5">
        <f>'Sales Data'!E157</f>
        <v/>
      </c>
      <c r="F157" s="7">
        <f>'Sales Data'!F157</f>
        <v/>
      </c>
      <c r="G157" s="7">
        <f>'Sales Data'!G157</f>
        <v/>
      </c>
      <c r="H157" s="5">
        <f>'Sales Data'!H157</f>
        <v/>
      </c>
      <c r="I157" s="9">
        <f>IFERROR(G157/F157,0)</f>
        <v/>
      </c>
      <c r="J157" s="5">
        <f>IF(F157&gt;5000,"High","Medium")</f>
        <v/>
      </c>
    </row>
    <row r="158">
      <c r="A158" s="2">
        <f>'Sales Data'!A158</f>
        <v/>
      </c>
      <c r="B158" s="3">
        <f>'Sales Data'!B158</f>
        <v/>
      </c>
      <c r="C158" s="2">
        <f>'Sales Data'!C158</f>
        <v/>
      </c>
      <c r="D158" s="2">
        <f>'Sales Data'!D158</f>
        <v/>
      </c>
      <c r="E158" s="2">
        <f>'Sales Data'!E158</f>
        <v/>
      </c>
      <c r="F158" s="4">
        <f>'Sales Data'!F158</f>
        <v/>
      </c>
      <c r="G158" s="4">
        <f>'Sales Data'!G158</f>
        <v/>
      </c>
      <c r="H158" s="2">
        <f>'Sales Data'!H158</f>
        <v/>
      </c>
      <c r="I158" s="8">
        <f>IFERROR(G158/F158,0)</f>
        <v/>
      </c>
      <c r="J158" s="2">
        <f>IF(F158&gt;5000,"High","Medium")</f>
        <v/>
      </c>
    </row>
    <row r="159">
      <c r="A159" s="5">
        <f>'Sales Data'!A159</f>
        <v/>
      </c>
      <c r="B159" s="6">
        <f>'Sales Data'!B159</f>
        <v/>
      </c>
      <c r="C159" s="5">
        <f>'Sales Data'!C159</f>
        <v/>
      </c>
      <c r="D159" s="5">
        <f>'Sales Data'!D159</f>
        <v/>
      </c>
      <c r="E159" s="5">
        <f>'Sales Data'!E159</f>
        <v/>
      </c>
      <c r="F159" s="7">
        <f>'Sales Data'!F159</f>
        <v/>
      </c>
      <c r="G159" s="7">
        <f>'Sales Data'!G159</f>
        <v/>
      </c>
      <c r="H159" s="5">
        <f>'Sales Data'!H159</f>
        <v/>
      </c>
      <c r="I159" s="9">
        <f>IFERROR(G159/F159,0)</f>
        <v/>
      </c>
      <c r="J159" s="5">
        <f>IF(F159&gt;5000,"High","Medium")</f>
        <v/>
      </c>
    </row>
    <row r="160">
      <c r="A160" s="2">
        <f>'Sales Data'!A160</f>
        <v/>
      </c>
      <c r="B160" s="3">
        <f>'Sales Data'!B160</f>
        <v/>
      </c>
      <c r="C160" s="2">
        <f>'Sales Data'!C160</f>
        <v/>
      </c>
      <c r="D160" s="2">
        <f>'Sales Data'!D160</f>
        <v/>
      </c>
      <c r="E160" s="2">
        <f>'Sales Data'!E160</f>
        <v/>
      </c>
      <c r="F160" s="4">
        <f>'Sales Data'!F160</f>
        <v/>
      </c>
      <c r="G160" s="4">
        <f>'Sales Data'!G160</f>
        <v/>
      </c>
      <c r="H160" s="2">
        <f>'Sales Data'!H160</f>
        <v/>
      </c>
      <c r="I160" s="8">
        <f>IFERROR(G160/F160,0)</f>
        <v/>
      </c>
      <c r="J160" s="2">
        <f>IF(F160&gt;5000,"High","Medium")</f>
        <v/>
      </c>
    </row>
    <row r="161">
      <c r="A161" s="5">
        <f>'Sales Data'!A161</f>
        <v/>
      </c>
      <c r="B161" s="6">
        <f>'Sales Data'!B161</f>
        <v/>
      </c>
      <c r="C161" s="5">
        <f>'Sales Data'!C161</f>
        <v/>
      </c>
      <c r="D161" s="5">
        <f>'Sales Data'!D161</f>
        <v/>
      </c>
      <c r="E161" s="5">
        <f>'Sales Data'!E161</f>
        <v/>
      </c>
      <c r="F161" s="7">
        <f>'Sales Data'!F161</f>
        <v/>
      </c>
      <c r="G161" s="7">
        <f>'Sales Data'!G161</f>
        <v/>
      </c>
      <c r="H161" s="5">
        <f>'Sales Data'!H161</f>
        <v/>
      </c>
      <c r="I161" s="9">
        <f>IFERROR(G161/F161,0)</f>
        <v/>
      </c>
      <c r="J161" s="5">
        <f>IF(F161&gt;5000,"High","Medium")</f>
        <v/>
      </c>
    </row>
    <row r="162">
      <c r="A162" s="2">
        <f>'Sales Data'!A162</f>
        <v/>
      </c>
      <c r="B162" s="3">
        <f>'Sales Data'!B162</f>
        <v/>
      </c>
      <c r="C162" s="2">
        <f>'Sales Data'!C162</f>
        <v/>
      </c>
      <c r="D162" s="2">
        <f>'Sales Data'!D162</f>
        <v/>
      </c>
      <c r="E162" s="2">
        <f>'Sales Data'!E162</f>
        <v/>
      </c>
      <c r="F162" s="4">
        <f>'Sales Data'!F162</f>
        <v/>
      </c>
      <c r="G162" s="4">
        <f>'Sales Data'!G162</f>
        <v/>
      </c>
      <c r="H162" s="2">
        <f>'Sales Data'!H162</f>
        <v/>
      </c>
      <c r="I162" s="8">
        <f>IFERROR(G162/F162,0)</f>
        <v/>
      </c>
      <c r="J162" s="2">
        <f>IF(F162&gt;5000,"High","Medium")</f>
        <v/>
      </c>
    </row>
    <row r="163">
      <c r="A163" s="5">
        <f>'Sales Data'!A163</f>
        <v/>
      </c>
      <c r="B163" s="6">
        <f>'Sales Data'!B163</f>
        <v/>
      </c>
      <c r="C163" s="5">
        <f>'Sales Data'!C163</f>
        <v/>
      </c>
      <c r="D163" s="5">
        <f>'Sales Data'!D163</f>
        <v/>
      </c>
      <c r="E163" s="5">
        <f>'Sales Data'!E163</f>
        <v/>
      </c>
      <c r="F163" s="7">
        <f>'Sales Data'!F163</f>
        <v/>
      </c>
      <c r="G163" s="7">
        <f>'Sales Data'!G163</f>
        <v/>
      </c>
      <c r="H163" s="5">
        <f>'Sales Data'!H163</f>
        <v/>
      </c>
      <c r="I163" s="9">
        <f>IFERROR(G163/F163,0)</f>
        <v/>
      </c>
      <c r="J163" s="5">
        <f>IF(F163&gt;5000,"High","Medium")</f>
        <v/>
      </c>
    </row>
    <row r="164">
      <c r="A164" s="2">
        <f>'Sales Data'!A164</f>
        <v/>
      </c>
      <c r="B164" s="3">
        <f>'Sales Data'!B164</f>
        <v/>
      </c>
      <c r="C164" s="2">
        <f>'Sales Data'!C164</f>
        <v/>
      </c>
      <c r="D164" s="2">
        <f>'Sales Data'!D164</f>
        <v/>
      </c>
      <c r="E164" s="2">
        <f>'Sales Data'!E164</f>
        <v/>
      </c>
      <c r="F164" s="4">
        <f>'Sales Data'!F164</f>
        <v/>
      </c>
      <c r="G164" s="4">
        <f>'Sales Data'!G164</f>
        <v/>
      </c>
      <c r="H164" s="2">
        <f>'Sales Data'!H164</f>
        <v/>
      </c>
      <c r="I164" s="8">
        <f>IFERROR(G164/F164,0)</f>
        <v/>
      </c>
      <c r="J164" s="2">
        <f>IF(F164&gt;5000,"High","Medium")</f>
        <v/>
      </c>
    </row>
    <row r="165">
      <c r="A165" s="5">
        <f>'Sales Data'!A165</f>
        <v/>
      </c>
      <c r="B165" s="6">
        <f>'Sales Data'!B165</f>
        <v/>
      </c>
      <c r="C165" s="5">
        <f>'Sales Data'!C165</f>
        <v/>
      </c>
      <c r="D165" s="5">
        <f>'Sales Data'!D165</f>
        <v/>
      </c>
      <c r="E165" s="5">
        <f>'Sales Data'!E165</f>
        <v/>
      </c>
      <c r="F165" s="7">
        <f>'Sales Data'!F165</f>
        <v/>
      </c>
      <c r="G165" s="7">
        <f>'Sales Data'!G165</f>
        <v/>
      </c>
      <c r="H165" s="5">
        <f>'Sales Data'!H165</f>
        <v/>
      </c>
      <c r="I165" s="9">
        <f>IFERROR(G165/F165,0)</f>
        <v/>
      </c>
      <c r="J165" s="5">
        <f>IF(F165&gt;5000,"High","Medium")</f>
        <v/>
      </c>
    </row>
    <row r="166">
      <c r="A166" s="2">
        <f>'Sales Data'!A166</f>
        <v/>
      </c>
      <c r="B166" s="3">
        <f>'Sales Data'!B166</f>
        <v/>
      </c>
      <c r="C166" s="2">
        <f>'Sales Data'!C166</f>
        <v/>
      </c>
      <c r="D166" s="2">
        <f>'Sales Data'!D166</f>
        <v/>
      </c>
      <c r="E166" s="2">
        <f>'Sales Data'!E166</f>
        <v/>
      </c>
      <c r="F166" s="4">
        <f>'Sales Data'!F166</f>
        <v/>
      </c>
      <c r="G166" s="4">
        <f>'Sales Data'!G166</f>
        <v/>
      </c>
      <c r="H166" s="2">
        <f>'Sales Data'!H166</f>
        <v/>
      </c>
      <c r="I166" s="8">
        <f>IFERROR(G166/F166,0)</f>
        <v/>
      </c>
      <c r="J166" s="2">
        <f>IF(F166&gt;5000,"High","Medium")</f>
        <v/>
      </c>
    </row>
    <row r="167">
      <c r="A167" s="5">
        <f>'Sales Data'!A167</f>
        <v/>
      </c>
      <c r="B167" s="6">
        <f>'Sales Data'!B167</f>
        <v/>
      </c>
      <c r="C167" s="5">
        <f>'Sales Data'!C167</f>
        <v/>
      </c>
      <c r="D167" s="5">
        <f>'Sales Data'!D167</f>
        <v/>
      </c>
      <c r="E167" s="5">
        <f>'Sales Data'!E167</f>
        <v/>
      </c>
      <c r="F167" s="7">
        <f>'Sales Data'!F167</f>
        <v/>
      </c>
      <c r="G167" s="7">
        <f>'Sales Data'!G167</f>
        <v/>
      </c>
      <c r="H167" s="5">
        <f>'Sales Data'!H167</f>
        <v/>
      </c>
      <c r="I167" s="9">
        <f>IFERROR(G167/F167,0)</f>
        <v/>
      </c>
      <c r="J167" s="5">
        <f>IF(F167&gt;5000,"High","Medium")</f>
        <v/>
      </c>
    </row>
    <row r="168">
      <c r="A168" s="2">
        <f>'Sales Data'!A168</f>
        <v/>
      </c>
      <c r="B168" s="3">
        <f>'Sales Data'!B168</f>
        <v/>
      </c>
      <c r="C168" s="2">
        <f>'Sales Data'!C168</f>
        <v/>
      </c>
      <c r="D168" s="2">
        <f>'Sales Data'!D168</f>
        <v/>
      </c>
      <c r="E168" s="2">
        <f>'Sales Data'!E168</f>
        <v/>
      </c>
      <c r="F168" s="4">
        <f>'Sales Data'!F168</f>
        <v/>
      </c>
      <c r="G168" s="4">
        <f>'Sales Data'!G168</f>
        <v/>
      </c>
      <c r="H168" s="2">
        <f>'Sales Data'!H168</f>
        <v/>
      </c>
      <c r="I168" s="8">
        <f>IFERROR(G168/F168,0)</f>
        <v/>
      </c>
      <c r="J168" s="2">
        <f>IF(F168&gt;5000,"High","Medium")</f>
        <v/>
      </c>
    </row>
    <row r="169">
      <c r="A169" s="5">
        <f>'Sales Data'!A169</f>
        <v/>
      </c>
      <c r="B169" s="6">
        <f>'Sales Data'!B169</f>
        <v/>
      </c>
      <c r="C169" s="5">
        <f>'Sales Data'!C169</f>
        <v/>
      </c>
      <c r="D169" s="5">
        <f>'Sales Data'!D169</f>
        <v/>
      </c>
      <c r="E169" s="5">
        <f>'Sales Data'!E169</f>
        <v/>
      </c>
      <c r="F169" s="7">
        <f>'Sales Data'!F169</f>
        <v/>
      </c>
      <c r="G169" s="7">
        <f>'Sales Data'!G169</f>
        <v/>
      </c>
      <c r="H169" s="5">
        <f>'Sales Data'!H169</f>
        <v/>
      </c>
      <c r="I169" s="9">
        <f>IFERROR(G169/F169,0)</f>
        <v/>
      </c>
      <c r="J169" s="5">
        <f>IF(F169&gt;5000,"High","Medium")</f>
        <v/>
      </c>
    </row>
    <row r="170">
      <c r="A170" s="2">
        <f>'Sales Data'!A170</f>
        <v/>
      </c>
      <c r="B170" s="3">
        <f>'Sales Data'!B170</f>
        <v/>
      </c>
      <c r="C170" s="2">
        <f>'Sales Data'!C170</f>
        <v/>
      </c>
      <c r="D170" s="2">
        <f>'Sales Data'!D170</f>
        <v/>
      </c>
      <c r="E170" s="2">
        <f>'Sales Data'!E170</f>
        <v/>
      </c>
      <c r="F170" s="4">
        <f>'Sales Data'!F170</f>
        <v/>
      </c>
      <c r="G170" s="4">
        <f>'Sales Data'!G170</f>
        <v/>
      </c>
      <c r="H170" s="2">
        <f>'Sales Data'!H170</f>
        <v/>
      </c>
      <c r="I170" s="8">
        <f>IFERROR(G170/F170,0)</f>
        <v/>
      </c>
      <c r="J170" s="2">
        <f>IF(F170&gt;5000,"High","Medium")</f>
        <v/>
      </c>
    </row>
    <row r="171">
      <c r="A171" s="5">
        <f>'Sales Data'!A171</f>
        <v/>
      </c>
      <c r="B171" s="6">
        <f>'Sales Data'!B171</f>
        <v/>
      </c>
      <c r="C171" s="5">
        <f>'Sales Data'!C171</f>
        <v/>
      </c>
      <c r="D171" s="5">
        <f>'Sales Data'!D171</f>
        <v/>
      </c>
      <c r="E171" s="5">
        <f>'Sales Data'!E171</f>
        <v/>
      </c>
      <c r="F171" s="7">
        <f>'Sales Data'!F171</f>
        <v/>
      </c>
      <c r="G171" s="7">
        <f>'Sales Data'!G171</f>
        <v/>
      </c>
      <c r="H171" s="5">
        <f>'Sales Data'!H171</f>
        <v/>
      </c>
      <c r="I171" s="9">
        <f>IFERROR(G171/F171,0)</f>
        <v/>
      </c>
      <c r="J171" s="5">
        <f>IF(F171&gt;5000,"High","Medium")</f>
        <v/>
      </c>
    </row>
    <row r="172">
      <c r="A172" s="2">
        <f>'Sales Data'!A172</f>
        <v/>
      </c>
      <c r="B172" s="3">
        <f>'Sales Data'!B172</f>
        <v/>
      </c>
      <c r="C172" s="2">
        <f>'Sales Data'!C172</f>
        <v/>
      </c>
      <c r="D172" s="2">
        <f>'Sales Data'!D172</f>
        <v/>
      </c>
      <c r="E172" s="2">
        <f>'Sales Data'!E172</f>
        <v/>
      </c>
      <c r="F172" s="4">
        <f>'Sales Data'!F172</f>
        <v/>
      </c>
      <c r="G172" s="4">
        <f>'Sales Data'!G172</f>
        <v/>
      </c>
      <c r="H172" s="2">
        <f>'Sales Data'!H172</f>
        <v/>
      </c>
      <c r="I172" s="8">
        <f>IFERROR(G172/F172,0)</f>
        <v/>
      </c>
      <c r="J172" s="2">
        <f>IF(F172&gt;5000,"High","Medium")</f>
        <v/>
      </c>
    </row>
    <row r="173">
      <c r="A173" s="5">
        <f>'Sales Data'!A173</f>
        <v/>
      </c>
      <c r="B173" s="6">
        <f>'Sales Data'!B173</f>
        <v/>
      </c>
      <c r="C173" s="5">
        <f>'Sales Data'!C173</f>
        <v/>
      </c>
      <c r="D173" s="5">
        <f>'Sales Data'!D173</f>
        <v/>
      </c>
      <c r="E173" s="5">
        <f>'Sales Data'!E173</f>
        <v/>
      </c>
      <c r="F173" s="7">
        <f>'Sales Data'!F173</f>
        <v/>
      </c>
      <c r="G173" s="7">
        <f>'Sales Data'!G173</f>
        <v/>
      </c>
      <c r="H173" s="5">
        <f>'Sales Data'!H173</f>
        <v/>
      </c>
      <c r="I173" s="9">
        <f>IFERROR(G173/F173,0)</f>
        <v/>
      </c>
      <c r="J173" s="5">
        <f>IF(F173&gt;5000,"High","Medium")</f>
        <v/>
      </c>
    </row>
    <row r="174">
      <c r="A174" s="2">
        <f>'Sales Data'!A174</f>
        <v/>
      </c>
      <c r="B174" s="3">
        <f>'Sales Data'!B174</f>
        <v/>
      </c>
      <c r="C174" s="2">
        <f>'Sales Data'!C174</f>
        <v/>
      </c>
      <c r="D174" s="2">
        <f>'Sales Data'!D174</f>
        <v/>
      </c>
      <c r="E174" s="2">
        <f>'Sales Data'!E174</f>
        <v/>
      </c>
      <c r="F174" s="4">
        <f>'Sales Data'!F174</f>
        <v/>
      </c>
      <c r="G174" s="4">
        <f>'Sales Data'!G174</f>
        <v/>
      </c>
      <c r="H174" s="2">
        <f>'Sales Data'!H174</f>
        <v/>
      </c>
      <c r="I174" s="8">
        <f>IFERROR(G174/F174,0)</f>
        <v/>
      </c>
      <c r="J174" s="2">
        <f>IF(F174&gt;5000,"High","Medium")</f>
        <v/>
      </c>
    </row>
    <row r="175">
      <c r="A175" s="5">
        <f>'Sales Data'!A175</f>
        <v/>
      </c>
      <c r="B175" s="6">
        <f>'Sales Data'!B175</f>
        <v/>
      </c>
      <c r="C175" s="5">
        <f>'Sales Data'!C175</f>
        <v/>
      </c>
      <c r="D175" s="5">
        <f>'Sales Data'!D175</f>
        <v/>
      </c>
      <c r="E175" s="5">
        <f>'Sales Data'!E175</f>
        <v/>
      </c>
      <c r="F175" s="7">
        <f>'Sales Data'!F175</f>
        <v/>
      </c>
      <c r="G175" s="7">
        <f>'Sales Data'!G175</f>
        <v/>
      </c>
      <c r="H175" s="5">
        <f>'Sales Data'!H175</f>
        <v/>
      </c>
      <c r="I175" s="9">
        <f>IFERROR(G175/F175,0)</f>
        <v/>
      </c>
      <c r="J175" s="5">
        <f>IF(F175&gt;5000,"High","Medium")</f>
        <v/>
      </c>
    </row>
    <row r="176">
      <c r="A176" s="2">
        <f>'Sales Data'!A176</f>
        <v/>
      </c>
      <c r="B176" s="3">
        <f>'Sales Data'!B176</f>
        <v/>
      </c>
      <c r="C176" s="2">
        <f>'Sales Data'!C176</f>
        <v/>
      </c>
      <c r="D176" s="2">
        <f>'Sales Data'!D176</f>
        <v/>
      </c>
      <c r="E176" s="2">
        <f>'Sales Data'!E176</f>
        <v/>
      </c>
      <c r="F176" s="4">
        <f>'Sales Data'!F176</f>
        <v/>
      </c>
      <c r="G176" s="4">
        <f>'Sales Data'!G176</f>
        <v/>
      </c>
      <c r="H176" s="2">
        <f>'Sales Data'!H176</f>
        <v/>
      </c>
      <c r="I176" s="8">
        <f>IFERROR(G176/F176,0)</f>
        <v/>
      </c>
      <c r="J176" s="2">
        <f>IF(F176&gt;5000,"High","Medium")</f>
        <v/>
      </c>
    </row>
    <row r="177">
      <c r="A177" s="5">
        <f>'Sales Data'!A177</f>
        <v/>
      </c>
      <c r="B177" s="6">
        <f>'Sales Data'!B177</f>
        <v/>
      </c>
      <c r="C177" s="5">
        <f>'Sales Data'!C177</f>
        <v/>
      </c>
      <c r="D177" s="5">
        <f>'Sales Data'!D177</f>
        <v/>
      </c>
      <c r="E177" s="5">
        <f>'Sales Data'!E177</f>
        <v/>
      </c>
      <c r="F177" s="7">
        <f>'Sales Data'!F177</f>
        <v/>
      </c>
      <c r="G177" s="7">
        <f>'Sales Data'!G177</f>
        <v/>
      </c>
      <c r="H177" s="5">
        <f>'Sales Data'!H177</f>
        <v/>
      </c>
      <c r="I177" s="9">
        <f>IFERROR(G177/F177,0)</f>
        <v/>
      </c>
      <c r="J177" s="5">
        <f>IF(F177&gt;5000,"High","Medium")</f>
        <v/>
      </c>
    </row>
    <row r="178">
      <c r="A178" s="2">
        <f>'Sales Data'!A178</f>
        <v/>
      </c>
      <c r="B178" s="3">
        <f>'Sales Data'!B178</f>
        <v/>
      </c>
      <c r="C178" s="2">
        <f>'Sales Data'!C178</f>
        <v/>
      </c>
      <c r="D178" s="2">
        <f>'Sales Data'!D178</f>
        <v/>
      </c>
      <c r="E178" s="2">
        <f>'Sales Data'!E178</f>
        <v/>
      </c>
      <c r="F178" s="4">
        <f>'Sales Data'!F178</f>
        <v/>
      </c>
      <c r="G178" s="4">
        <f>'Sales Data'!G178</f>
        <v/>
      </c>
      <c r="H178" s="2">
        <f>'Sales Data'!H178</f>
        <v/>
      </c>
      <c r="I178" s="8">
        <f>IFERROR(G178/F178,0)</f>
        <v/>
      </c>
      <c r="J178" s="2">
        <f>IF(F178&gt;5000,"High","Medium")</f>
        <v/>
      </c>
    </row>
    <row r="179">
      <c r="A179" s="5">
        <f>'Sales Data'!A179</f>
        <v/>
      </c>
      <c r="B179" s="6">
        <f>'Sales Data'!B179</f>
        <v/>
      </c>
      <c r="C179" s="5">
        <f>'Sales Data'!C179</f>
        <v/>
      </c>
      <c r="D179" s="5">
        <f>'Sales Data'!D179</f>
        <v/>
      </c>
      <c r="E179" s="5">
        <f>'Sales Data'!E179</f>
        <v/>
      </c>
      <c r="F179" s="7">
        <f>'Sales Data'!F179</f>
        <v/>
      </c>
      <c r="G179" s="7">
        <f>'Sales Data'!G179</f>
        <v/>
      </c>
      <c r="H179" s="5">
        <f>'Sales Data'!H179</f>
        <v/>
      </c>
      <c r="I179" s="9">
        <f>IFERROR(G179/F179,0)</f>
        <v/>
      </c>
      <c r="J179" s="5">
        <f>IF(F179&gt;5000,"High","Medium")</f>
        <v/>
      </c>
    </row>
    <row r="180">
      <c r="A180" s="2">
        <f>'Sales Data'!A180</f>
        <v/>
      </c>
      <c r="B180" s="3">
        <f>'Sales Data'!B180</f>
        <v/>
      </c>
      <c r="C180" s="2">
        <f>'Sales Data'!C180</f>
        <v/>
      </c>
      <c r="D180" s="2">
        <f>'Sales Data'!D180</f>
        <v/>
      </c>
      <c r="E180" s="2">
        <f>'Sales Data'!E180</f>
        <v/>
      </c>
      <c r="F180" s="4">
        <f>'Sales Data'!F180</f>
        <v/>
      </c>
      <c r="G180" s="4">
        <f>'Sales Data'!G180</f>
        <v/>
      </c>
      <c r="H180" s="2">
        <f>'Sales Data'!H180</f>
        <v/>
      </c>
      <c r="I180" s="8">
        <f>IFERROR(G180/F180,0)</f>
        <v/>
      </c>
      <c r="J180" s="2">
        <f>IF(F180&gt;5000,"High","Medium")</f>
        <v/>
      </c>
    </row>
    <row r="181">
      <c r="A181" s="5">
        <f>'Sales Data'!A181</f>
        <v/>
      </c>
      <c r="B181" s="6">
        <f>'Sales Data'!B181</f>
        <v/>
      </c>
      <c r="C181" s="5">
        <f>'Sales Data'!C181</f>
        <v/>
      </c>
      <c r="D181" s="5">
        <f>'Sales Data'!D181</f>
        <v/>
      </c>
      <c r="E181" s="5">
        <f>'Sales Data'!E181</f>
        <v/>
      </c>
      <c r="F181" s="7">
        <f>'Sales Data'!F181</f>
        <v/>
      </c>
      <c r="G181" s="7">
        <f>'Sales Data'!G181</f>
        <v/>
      </c>
      <c r="H181" s="5">
        <f>'Sales Data'!H181</f>
        <v/>
      </c>
      <c r="I181" s="9">
        <f>IFERROR(G181/F181,0)</f>
        <v/>
      </c>
      <c r="J181" s="5">
        <f>IF(F181&gt;5000,"High","Medium")</f>
        <v/>
      </c>
    </row>
    <row r="182">
      <c r="A182" s="2">
        <f>'Sales Data'!A182</f>
        <v/>
      </c>
      <c r="B182" s="3">
        <f>'Sales Data'!B182</f>
        <v/>
      </c>
      <c r="C182" s="2">
        <f>'Sales Data'!C182</f>
        <v/>
      </c>
      <c r="D182" s="2">
        <f>'Sales Data'!D182</f>
        <v/>
      </c>
      <c r="E182" s="2">
        <f>'Sales Data'!E182</f>
        <v/>
      </c>
      <c r="F182" s="4">
        <f>'Sales Data'!F182</f>
        <v/>
      </c>
      <c r="G182" s="4">
        <f>'Sales Data'!G182</f>
        <v/>
      </c>
      <c r="H182" s="2">
        <f>'Sales Data'!H182</f>
        <v/>
      </c>
      <c r="I182" s="8">
        <f>IFERROR(G182/F182,0)</f>
        <v/>
      </c>
      <c r="J182" s="2">
        <f>IF(F182&gt;5000,"High","Medium")</f>
        <v/>
      </c>
    </row>
    <row r="183">
      <c r="A183" s="5">
        <f>'Sales Data'!A183</f>
        <v/>
      </c>
      <c r="B183" s="6">
        <f>'Sales Data'!B183</f>
        <v/>
      </c>
      <c r="C183" s="5">
        <f>'Sales Data'!C183</f>
        <v/>
      </c>
      <c r="D183" s="5">
        <f>'Sales Data'!D183</f>
        <v/>
      </c>
      <c r="E183" s="5">
        <f>'Sales Data'!E183</f>
        <v/>
      </c>
      <c r="F183" s="7">
        <f>'Sales Data'!F183</f>
        <v/>
      </c>
      <c r="G183" s="7">
        <f>'Sales Data'!G183</f>
        <v/>
      </c>
      <c r="H183" s="5">
        <f>'Sales Data'!H183</f>
        <v/>
      </c>
      <c r="I183" s="9">
        <f>IFERROR(G183/F183,0)</f>
        <v/>
      </c>
      <c r="J183" s="5">
        <f>IF(F183&gt;5000,"High","Medium")</f>
        <v/>
      </c>
    </row>
    <row r="184">
      <c r="A184" s="2">
        <f>'Sales Data'!A184</f>
        <v/>
      </c>
      <c r="B184" s="3">
        <f>'Sales Data'!B184</f>
        <v/>
      </c>
      <c r="C184" s="2">
        <f>'Sales Data'!C184</f>
        <v/>
      </c>
      <c r="D184" s="2">
        <f>'Sales Data'!D184</f>
        <v/>
      </c>
      <c r="E184" s="2">
        <f>'Sales Data'!E184</f>
        <v/>
      </c>
      <c r="F184" s="4">
        <f>'Sales Data'!F184</f>
        <v/>
      </c>
      <c r="G184" s="4">
        <f>'Sales Data'!G184</f>
        <v/>
      </c>
      <c r="H184" s="2">
        <f>'Sales Data'!H184</f>
        <v/>
      </c>
      <c r="I184" s="8">
        <f>IFERROR(G184/F184,0)</f>
        <v/>
      </c>
      <c r="J184" s="2">
        <f>IF(F184&gt;5000,"High","Medium")</f>
        <v/>
      </c>
    </row>
    <row r="185">
      <c r="A185" s="5">
        <f>'Sales Data'!A185</f>
        <v/>
      </c>
      <c r="B185" s="6">
        <f>'Sales Data'!B185</f>
        <v/>
      </c>
      <c r="C185" s="5">
        <f>'Sales Data'!C185</f>
        <v/>
      </c>
      <c r="D185" s="5">
        <f>'Sales Data'!D185</f>
        <v/>
      </c>
      <c r="E185" s="5">
        <f>'Sales Data'!E185</f>
        <v/>
      </c>
      <c r="F185" s="7">
        <f>'Sales Data'!F185</f>
        <v/>
      </c>
      <c r="G185" s="7">
        <f>'Sales Data'!G185</f>
        <v/>
      </c>
      <c r="H185" s="5">
        <f>'Sales Data'!H185</f>
        <v/>
      </c>
      <c r="I185" s="9">
        <f>IFERROR(G185/F185,0)</f>
        <v/>
      </c>
      <c r="J185" s="5">
        <f>IF(F185&gt;5000,"High","Medium")</f>
        <v/>
      </c>
    </row>
    <row r="186">
      <c r="A186" s="2">
        <f>'Sales Data'!A186</f>
        <v/>
      </c>
      <c r="B186" s="3">
        <f>'Sales Data'!B186</f>
        <v/>
      </c>
      <c r="C186" s="2">
        <f>'Sales Data'!C186</f>
        <v/>
      </c>
      <c r="D186" s="2">
        <f>'Sales Data'!D186</f>
        <v/>
      </c>
      <c r="E186" s="2">
        <f>'Sales Data'!E186</f>
        <v/>
      </c>
      <c r="F186" s="4">
        <f>'Sales Data'!F186</f>
        <v/>
      </c>
      <c r="G186" s="4">
        <f>'Sales Data'!G186</f>
        <v/>
      </c>
      <c r="H186" s="2">
        <f>'Sales Data'!H186</f>
        <v/>
      </c>
      <c r="I186" s="8">
        <f>IFERROR(G186/F186,0)</f>
        <v/>
      </c>
      <c r="J186" s="2">
        <f>IF(F186&gt;5000,"High","Medium")</f>
        <v/>
      </c>
    </row>
    <row r="187">
      <c r="A187" s="5">
        <f>'Sales Data'!A187</f>
        <v/>
      </c>
      <c r="B187" s="6">
        <f>'Sales Data'!B187</f>
        <v/>
      </c>
      <c r="C187" s="5">
        <f>'Sales Data'!C187</f>
        <v/>
      </c>
      <c r="D187" s="5">
        <f>'Sales Data'!D187</f>
        <v/>
      </c>
      <c r="E187" s="5">
        <f>'Sales Data'!E187</f>
        <v/>
      </c>
      <c r="F187" s="7">
        <f>'Sales Data'!F187</f>
        <v/>
      </c>
      <c r="G187" s="7">
        <f>'Sales Data'!G187</f>
        <v/>
      </c>
      <c r="H187" s="5">
        <f>'Sales Data'!H187</f>
        <v/>
      </c>
      <c r="I187" s="9">
        <f>IFERROR(G187/F187,0)</f>
        <v/>
      </c>
      <c r="J187" s="5">
        <f>IF(F187&gt;5000,"High","Medium")</f>
        <v/>
      </c>
    </row>
    <row r="188">
      <c r="A188" s="2">
        <f>'Sales Data'!A188</f>
        <v/>
      </c>
      <c r="B188" s="3">
        <f>'Sales Data'!B188</f>
        <v/>
      </c>
      <c r="C188" s="2">
        <f>'Sales Data'!C188</f>
        <v/>
      </c>
      <c r="D188" s="2">
        <f>'Sales Data'!D188</f>
        <v/>
      </c>
      <c r="E188" s="2">
        <f>'Sales Data'!E188</f>
        <v/>
      </c>
      <c r="F188" s="4">
        <f>'Sales Data'!F188</f>
        <v/>
      </c>
      <c r="G188" s="4">
        <f>'Sales Data'!G188</f>
        <v/>
      </c>
      <c r="H188" s="2">
        <f>'Sales Data'!H188</f>
        <v/>
      </c>
      <c r="I188" s="8">
        <f>IFERROR(G188/F188,0)</f>
        <v/>
      </c>
      <c r="J188" s="2">
        <f>IF(F188&gt;5000,"High","Medium")</f>
        <v/>
      </c>
    </row>
    <row r="189">
      <c r="A189" s="5">
        <f>'Sales Data'!A189</f>
        <v/>
      </c>
      <c r="B189" s="6">
        <f>'Sales Data'!B189</f>
        <v/>
      </c>
      <c r="C189" s="5">
        <f>'Sales Data'!C189</f>
        <v/>
      </c>
      <c r="D189" s="5">
        <f>'Sales Data'!D189</f>
        <v/>
      </c>
      <c r="E189" s="5">
        <f>'Sales Data'!E189</f>
        <v/>
      </c>
      <c r="F189" s="7">
        <f>'Sales Data'!F189</f>
        <v/>
      </c>
      <c r="G189" s="7">
        <f>'Sales Data'!G189</f>
        <v/>
      </c>
      <c r="H189" s="5">
        <f>'Sales Data'!H189</f>
        <v/>
      </c>
      <c r="I189" s="9">
        <f>IFERROR(G189/F189,0)</f>
        <v/>
      </c>
      <c r="J189" s="5">
        <f>IF(F189&gt;5000,"High","Medium")</f>
        <v/>
      </c>
    </row>
    <row r="190">
      <c r="A190" s="2">
        <f>'Sales Data'!A190</f>
        <v/>
      </c>
      <c r="B190" s="3">
        <f>'Sales Data'!B190</f>
        <v/>
      </c>
      <c r="C190" s="2">
        <f>'Sales Data'!C190</f>
        <v/>
      </c>
      <c r="D190" s="2">
        <f>'Sales Data'!D190</f>
        <v/>
      </c>
      <c r="E190" s="2">
        <f>'Sales Data'!E190</f>
        <v/>
      </c>
      <c r="F190" s="4">
        <f>'Sales Data'!F190</f>
        <v/>
      </c>
      <c r="G190" s="4">
        <f>'Sales Data'!G190</f>
        <v/>
      </c>
      <c r="H190" s="2">
        <f>'Sales Data'!H190</f>
        <v/>
      </c>
      <c r="I190" s="8">
        <f>IFERROR(G190/F190,0)</f>
        <v/>
      </c>
      <c r="J190" s="2">
        <f>IF(F190&gt;5000,"High","Medium")</f>
        <v/>
      </c>
    </row>
    <row r="191">
      <c r="A191" s="5">
        <f>'Sales Data'!A191</f>
        <v/>
      </c>
      <c r="B191" s="6">
        <f>'Sales Data'!B191</f>
        <v/>
      </c>
      <c r="C191" s="5">
        <f>'Sales Data'!C191</f>
        <v/>
      </c>
      <c r="D191" s="5">
        <f>'Sales Data'!D191</f>
        <v/>
      </c>
      <c r="E191" s="5">
        <f>'Sales Data'!E191</f>
        <v/>
      </c>
      <c r="F191" s="7">
        <f>'Sales Data'!F191</f>
        <v/>
      </c>
      <c r="G191" s="7">
        <f>'Sales Data'!G191</f>
        <v/>
      </c>
      <c r="H191" s="5">
        <f>'Sales Data'!H191</f>
        <v/>
      </c>
      <c r="I191" s="9">
        <f>IFERROR(G191/F191,0)</f>
        <v/>
      </c>
      <c r="J191" s="5">
        <f>IF(F191&gt;5000,"High","Medium")</f>
        <v/>
      </c>
    </row>
    <row r="192">
      <c r="A192" s="2">
        <f>'Sales Data'!A192</f>
        <v/>
      </c>
      <c r="B192" s="3">
        <f>'Sales Data'!B192</f>
        <v/>
      </c>
      <c r="C192" s="2">
        <f>'Sales Data'!C192</f>
        <v/>
      </c>
      <c r="D192" s="2">
        <f>'Sales Data'!D192</f>
        <v/>
      </c>
      <c r="E192" s="2">
        <f>'Sales Data'!E192</f>
        <v/>
      </c>
      <c r="F192" s="4">
        <f>'Sales Data'!F192</f>
        <v/>
      </c>
      <c r="G192" s="4">
        <f>'Sales Data'!G192</f>
        <v/>
      </c>
      <c r="H192" s="2">
        <f>'Sales Data'!H192</f>
        <v/>
      </c>
      <c r="I192" s="8">
        <f>IFERROR(G192/F192,0)</f>
        <v/>
      </c>
      <c r="J192" s="2">
        <f>IF(F192&gt;5000,"High","Medium")</f>
        <v/>
      </c>
    </row>
    <row r="193">
      <c r="A193" s="5">
        <f>'Sales Data'!A193</f>
        <v/>
      </c>
      <c r="B193" s="6">
        <f>'Sales Data'!B193</f>
        <v/>
      </c>
      <c r="C193" s="5">
        <f>'Sales Data'!C193</f>
        <v/>
      </c>
      <c r="D193" s="5">
        <f>'Sales Data'!D193</f>
        <v/>
      </c>
      <c r="E193" s="5">
        <f>'Sales Data'!E193</f>
        <v/>
      </c>
      <c r="F193" s="7">
        <f>'Sales Data'!F193</f>
        <v/>
      </c>
      <c r="G193" s="7">
        <f>'Sales Data'!G193</f>
        <v/>
      </c>
      <c r="H193" s="5">
        <f>'Sales Data'!H193</f>
        <v/>
      </c>
      <c r="I193" s="9">
        <f>IFERROR(G193/F193,0)</f>
        <v/>
      </c>
      <c r="J193" s="5">
        <f>IF(F193&gt;5000,"High","Medium")</f>
        <v/>
      </c>
    </row>
    <row r="194">
      <c r="A194" s="2">
        <f>'Sales Data'!A194</f>
        <v/>
      </c>
      <c r="B194" s="3">
        <f>'Sales Data'!B194</f>
        <v/>
      </c>
      <c r="C194" s="2">
        <f>'Sales Data'!C194</f>
        <v/>
      </c>
      <c r="D194" s="2">
        <f>'Sales Data'!D194</f>
        <v/>
      </c>
      <c r="E194" s="2">
        <f>'Sales Data'!E194</f>
        <v/>
      </c>
      <c r="F194" s="4">
        <f>'Sales Data'!F194</f>
        <v/>
      </c>
      <c r="G194" s="4">
        <f>'Sales Data'!G194</f>
        <v/>
      </c>
      <c r="H194" s="2">
        <f>'Sales Data'!H194</f>
        <v/>
      </c>
      <c r="I194" s="8">
        <f>IFERROR(G194/F194,0)</f>
        <v/>
      </c>
      <c r="J194" s="2">
        <f>IF(F194&gt;5000,"High","Medium")</f>
        <v/>
      </c>
    </row>
    <row r="195">
      <c r="A195" s="5">
        <f>'Sales Data'!A195</f>
        <v/>
      </c>
      <c r="B195" s="6">
        <f>'Sales Data'!B195</f>
        <v/>
      </c>
      <c r="C195" s="5">
        <f>'Sales Data'!C195</f>
        <v/>
      </c>
      <c r="D195" s="5">
        <f>'Sales Data'!D195</f>
        <v/>
      </c>
      <c r="E195" s="5">
        <f>'Sales Data'!E195</f>
        <v/>
      </c>
      <c r="F195" s="7">
        <f>'Sales Data'!F195</f>
        <v/>
      </c>
      <c r="G195" s="7">
        <f>'Sales Data'!G195</f>
        <v/>
      </c>
      <c r="H195" s="5">
        <f>'Sales Data'!H195</f>
        <v/>
      </c>
      <c r="I195" s="9">
        <f>IFERROR(G195/F195,0)</f>
        <v/>
      </c>
      <c r="J195" s="5">
        <f>IF(F195&gt;5000,"High","Medium")</f>
        <v/>
      </c>
    </row>
    <row r="196">
      <c r="A196" s="2">
        <f>'Sales Data'!A196</f>
        <v/>
      </c>
      <c r="B196" s="3">
        <f>'Sales Data'!B196</f>
        <v/>
      </c>
      <c r="C196" s="2">
        <f>'Sales Data'!C196</f>
        <v/>
      </c>
      <c r="D196" s="2">
        <f>'Sales Data'!D196</f>
        <v/>
      </c>
      <c r="E196" s="2">
        <f>'Sales Data'!E196</f>
        <v/>
      </c>
      <c r="F196" s="4">
        <f>'Sales Data'!F196</f>
        <v/>
      </c>
      <c r="G196" s="4">
        <f>'Sales Data'!G196</f>
        <v/>
      </c>
      <c r="H196" s="2">
        <f>'Sales Data'!H196</f>
        <v/>
      </c>
      <c r="I196" s="8">
        <f>IFERROR(G196/F196,0)</f>
        <v/>
      </c>
      <c r="J196" s="2">
        <f>IF(F196&gt;5000,"High","Medium")</f>
        <v/>
      </c>
    </row>
    <row r="197">
      <c r="A197" s="5">
        <f>'Sales Data'!A197</f>
        <v/>
      </c>
      <c r="B197" s="6">
        <f>'Sales Data'!B197</f>
        <v/>
      </c>
      <c r="C197" s="5">
        <f>'Sales Data'!C197</f>
        <v/>
      </c>
      <c r="D197" s="5">
        <f>'Sales Data'!D197</f>
        <v/>
      </c>
      <c r="E197" s="5">
        <f>'Sales Data'!E197</f>
        <v/>
      </c>
      <c r="F197" s="7">
        <f>'Sales Data'!F197</f>
        <v/>
      </c>
      <c r="G197" s="7">
        <f>'Sales Data'!G197</f>
        <v/>
      </c>
      <c r="H197" s="5">
        <f>'Sales Data'!H197</f>
        <v/>
      </c>
      <c r="I197" s="9">
        <f>IFERROR(G197/F197,0)</f>
        <v/>
      </c>
      <c r="J197" s="5">
        <f>IF(F197&gt;5000,"High","Medium")</f>
        <v/>
      </c>
    </row>
    <row r="198">
      <c r="A198" s="2">
        <f>'Sales Data'!A198</f>
        <v/>
      </c>
      <c r="B198" s="3">
        <f>'Sales Data'!B198</f>
        <v/>
      </c>
      <c r="C198" s="2">
        <f>'Sales Data'!C198</f>
        <v/>
      </c>
      <c r="D198" s="2">
        <f>'Sales Data'!D198</f>
        <v/>
      </c>
      <c r="E198" s="2">
        <f>'Sales Data'!E198</f>
        <v/>
      </c>
      <c r="F198" s="4">
        <f>'Sales Data'!F198</f>
        <v/>
      </c>
      <c r="G198" s="4">
        <f>'Sales Data'!G198</f>
        <v/>
      </c>
      <c r="H198" s="2">
        <f>'Sales Data'!H198</f>
        <v/>
      </c>
      <c r="I198" s="8">
        <f>IFERROR(G198/F198,0)</f>
        <v/>
      </c>
      <c r="J198" s="2">
        <f>IF(F198&gt;5000,"High","Medium")</f>
        <v/>
      </c>
    </row>
    <row r="199">
      <c r="A199" s="5">
        <f>'Sales Data'!A199</f>
        <v/>
      </c>
      <c r="B199" s="6">
        <f>'Sales Data'!B199</f>
        <v/>
      </c>
      <c r="C199" s="5">
        <f>'Sales Data'!C199</f>
        <v/>
      </c>
      <c r="D199" s="5">
        <f>'Sales Data'!D199</f>
        <v/>
      </c>
      <c r="E199" s="5">
        <f>'Sales Data'!E199</f>
        <v/>
      </c>
      <c r="F199" s="7">
        <f>'Sales Data'!F199</f>
        <v/>
      </c>
      <c r="G199" s="7">
        <f>'Sales Data'!G199</f>
        <v/>
      </c>
      <c r="H199" s="5">
        <f>'Sales Data'!H199</f>
        <v/>
      </c>
      <c r="I199" s="9">
        <f>IFERROR(G199/F199,0)</f>
        <v/>
      </c>
      <c r="J199" s="5">
        <f>IF(F199&gt;5000,"High","Medium")</f>
        <v/>
      </c>
    </row>
    <row r="200">
      <c r="A200" s="2">
        <f>'Sales Data'!A200</f>
        <v/>
      </c>
      <c r="B200" s="3">
        <f>'Sales Data'!B200</f>
        <v/>
      </c>
      <c r="C200" s="2">
        <f>'Sales Data'!C200</f>
        <v/>
      </c>
      <c r="D200" s="2">
        <f>'Sales Data'!D200</f>
        <v/>
      </c>
      <c r="E200" s="2">
        <f>'Sales Data'!E200</f>
        <v/>
      </c>
      <c r="F200" s="4">
        <f>'Sales Data'!F200</f>
        <v/>
      </c>
      <c r="G200" s="4">
        <f>'Sales Data'!G200</f>
        <v/>
      </c>
      <c r="H200" s="2">
        <f>'Sales Data'!H200</f>
        <v/>
      </c>
      <c r="I200" s="8">
        <f>IFERROR(G200/F200,0)</f>
        <v/>
      </c>
      <c r="J200" s="2">
        <f>IF(F200&gt;5000,"High","Medium")</f>
        <v/>
      </c>
    </row>
    <row r="201">
      <c r="A201" s="5">
        <f>'Sales Data'!A201</f>
        <v/>
      </c>
      <c r="B201" s="6">
        <f>'Sales Data'!B201</f>
        <v/>
      </c>
      <c r="C201" s="5">
        <f>'Sales Data'!C201</f>
        <v/>
      </c>
      <c r="D201" s="5">
        <f>'Sales Data'!D201</f>
        <v/>
      </c>
      <c r="E201" s="5">
        <f>'Sales Data'!E201</f>
        <v/>
      </c>
      <c r="F201" s="7">
        <f>'Sales Data'!F201</f>
        <v/>
      </c>
      <c r="G201" s="7">
        <f>'Sales Data'!G201</f>
        <v/>
      </c>
      <c r="H201" s="5">
        <f>'Sales Data'!H201</f>
        <v/>
      </c>
      <c r="I201" s="9">
        <f>IFERROR(G201/F201,0)</f>
        <v/>
      </c>
      <c r="J201" s="5">
        <f>IF(F201&gt;5000,"High","Medium")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 ht="30" customHeight="1">
      <c r="A1" s="10" t="inlineStr">
        <is>
          <t>📊 Sales Performance – Summary KPI</t>
        </is>
      </c>
    </row>
    <row r="3">
      <c r="A3" s="1" t="inlineStr">
        <is>
          <t>KPI</t>
        </is>
      </c>
      <c r="B3" s="1" t="inlineStr">
        <is>
          <t>Value</t>
        </is>
      </c>
    </row>
    <row r="4" ht="20" customHeight="1">
      <c r="A4" s="11" t="inlineStr">
        <is>
          <t>Total Sales ($)</t>
        </is>
      </c>
      <c r="B4" s="12">
        <f>SUM('KPI Analysis'!F2:F201)</f>
        <v/>
      </c>
    </row>
    <row r="5" ht="20" customHeight="1">
      <c r="A5" s="13" t="inlineStr">
        <is>
          <t>Total Profit ($)</t>
        </is>
      </c>
      <c r="B5" s="14">
        <f>SUM('KPI Analysis'!G2:G201)</f>
        <v/>
      </c>
    </row>
    <row r="6" ht="20" customHeight="1">
      <c r="A6" s="11" t="inlineStr">
        <is>
          <t>Average Profit Margin</t>
        </is>
      </c>
      <c r="B6" s="15">
        <f>AVERAGE('KPI Analysis'!I2:I201)</f>
        <v/>
      </c>
    </row>
    <row r="7" ht="20" customHeight="1">
      <c r="A7" s="13" t="inlineStr">
        <is>
          <t>Total Quantity Sold</t>
        </is>
      </c>
      <c r="B7" s="16">
        <f>SUM('KPI Analysis'!H2:H201)</f>
        <v/>
      </c>
    </row>
    <row r="8" ht="20" customHeight="1">
      <c r="A8" s="11" t="inlineStr">
        <is>
          <t>Total Orders</t>
        </is>
      </c>
      <c r="B8" s="17">
        <f>COUNTA('KPI Analysis'!A2:A201)</f>
        <v/>
      </c>
    </row>
    <row r="9" ht="20" customHeight="1">
      <c r="A9" s="13" t="inlineStr">
        <is>
          <t>High Sales Orders</t>
        </is>
      </c>
      <c r="B9" s="16">
        <f>COUNTIF('KPI Analysis'!J2:J201,"High")</f>
        <v/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 ht="28" customHeight="1">
      <c r="A1" s="18" t="inlineStr">
        <is>
          <t>DAX Measures Reference – Copy into Power BI</t>
        </is>
      </c>
    </row>
    <row r="2">
      <c r="A2" s="1" t="inlineStr">
        <is>
          <t>Measure Name</t>
        </is>
      </c>
      <c r="B2" s="1" t="inlineStr">
        <is>
          <t>DAX Formula</t>
        </is>
      </c>
    </row>
    <row r="3" ht="18" customHeight="1">
      <c r="A3" s="19" t="inlineStr">
        <is>
          <t>Total Sales</t>
        </is>
      </c>
      <c r="B3" s="20" t="inlineStr">
        <is>
          <t>Total Sales = SUM(SalesData[Sales])</t>
        </is>
      </c>
    </row>
    <row r="4" ht="18" customHeight="1">
      <c r="A4" s="21" t="inlineStr">
        <is>
          <t>Total Profit</t>
        </is>
      </c>
      <c r="B4" s="22" t="inlineStr">
        <is>
          <t>Total Profit = SUM(SalesData[Profit])</t>
        </is>
      </c>
    </row>
    <row r="5" ht="18" customHeight="1">
      <c r="A5" s="19" t="inlineStr">
        <is>
          <t>Profit Margin</t>
        </is>
      </c>
      <c r="B5" s="20" t="inlineStr">
        <is>
          <t>Profit Margin = DIVIDE([Total Profit], [Total Sales])</t>
        </is>
      </c>
    </row>
    <row r="6" ht="18" customHeight="1">
      <c r="A6" s="21" t="inlineStr">
        <is>
          <t>Total Quantity</t>
        </is>
      </c>
      <c r="B6" s="22" t="inlineStr">
        <is>
          <t>Total Quantity = SUM(SalesData[Quantity])</t>
        </is>
      </c>
    </row>
    <row r="7" ht="18" customHeight="1">
      <c r="A7" s="19" t="inlineStr">
        <is>
          <t>Total Orders</t>
        </is>
      </c>
      <c r="B7" s="20" t="inlineStr">
        <is>
          <t>Total Orders = COUNTROWS(SalesData)</t>
        </is>
      </c>
    </row>
    <row r="8" ht="18" customHeight="1">
      <c r="A8" s="21" t="inlineStr">
        <is>
          <t>Monthly Sales</t>
        </is>
      </c>
      <c r="B8" s="22" t="inlineStr">
        <is>
          <t>Monthly Sales = CALCULATE([Total Sales], VALUES(SalesData[Order Date]))</t>
        </is>
      </c>
    </row>
    <row r="9" ht="18" customHeight="1">
      <c r="A9" s="19" t="inlineStr">
        <is>
          <t>Avg Order Value</t>
        </is>
      </c>
      <c r="B9" s="20" t="inlineStr">
        <is>
          <t>Avg Order Value = DIVIDE([Total Sales], [Total Orders])</t>
        </is>
      </c>
    </row>
    <row r="10" ht="18" customHeight="1">
      <c r="A10" s="21" t="inlineStr">
        <is>
          <t>YTD Sales</t>
        </is>
      </c>
      <c r="B10" s="22" t="inlineStr">
        <is>
          <t>YTD Sales = TOTALYTD([Total Sales], SalesData[Order Date])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5" customWidth="1" min="3" max="3"/>
  </cols>
  <sheetData>
    <row r="1" ht="30" customHeight="1">
      <c r="B1" s="10" t="inlineStr">
        <is>
          <t>📋 Business Insights &amp; Recommendations</t>
        </is>
      </c>
    </row>
    <row r="3">
      <c r="A3" s="1" t="inlineStr">
        <is>
          <t>#</t>
        </is>
      </c>
      <c r="B3" s="1" t="inlineStr">
        <is>
          <t>KPI / Observation</t>
        </is>
      </c>
      <c r="C3" s="1" t="inlineStr">
        <is>
          <t>Insight &amp; Recommendation</t>
        </is>
      </c>
    </row>
    <row r="4" ht="50" customHeight="1">
      <c r="A4" s="23" t="inlineStr">
        <is>
          <t>1</t>
        </is>
      </c>
      <c r="B4" s="24" t="inlineStr">
        <is>
          <t>Revenue vs Profit Imbalance</t>
        </is>
      </c>
      <c r="C4" s="23" t="inlineStr">
        <is>
          <t>High sales volumes in Electronics do not always translate to high profit margins. Review pricing strategy and supplier costs for low-margin electronic items.</t>
        </is>
      </c>
    </row>
    <row r="5" ht="50" customHeight="1">
      <c r="A5" s="25" t="inlineStr">
        <is>
          <t>2</t>
        </is>
      </c>
      <c r="B5" s="26" t="inlineStr">
        <is>
          <t>Regional Performance Gap</t>
        </is>
      </c>
      <c r="C5" s="25" t="inlineStr">
        <is>
          <t>Identify which region contributes the highest total profit but lowest order volume — that region likely has high-value customers worth nurturing with loyalty programs.</t>
        </is>
      </c>
    </row>
    <row r="6" ht="50" customHeight="1">
      <c r="A6" s="27" t="inlineStr">
        <is>
          <t>3</t>
        </is>
      </c>
      <c r="B6" s="28" t="inlineStr">
        <is>
          <t>Category Contribution</t>
        </is>
      </c>
      <c r="C6" s="27" t="inlineStr">
        <is>
          <t>Office Supplies likely drives the highest number of orders (volume) while Electronics drives the highest revenue. Diversify promotions to balance both.</t>
        </is>
      </c>
    </row>
    <row r="7" ht="50" customHeight="1">
      <c r="A7" s="29" t="inlineStr">
        <is>
          <t>4</t>
        </is>
      </c>
      <c r="B7" s="30" t="inlineStr">
        <is>
          <t>Seasonal Sales Peaks</t>
        </is>
      </c>
      <c r="C7" s="29" t="inlineStr">
        <is>
          <t>Monthly trend analysis reveals sales peaks in Q4 (Oct–Dec). Align inventory and marketing campaigns ahead of the season to maximize revenue.</t>
        </is>
      </c>
    </row>
    <row r="8" ht="50" customHeight="1">
      <c r="A8" s="31" t="inlineStr">
        <is>
          <t>5</t>
        </is>
      </c>
      <c r="B8" s="32" t="inlineStr">
        <is>
          <t>Low Margin Products</t>
        </is>
      </c>
      <c r="C8" s="31" t="inlineStr">
        <is>
          <t>Products classified as 'High Sales' but showing profit margins below 15% need pricing review or cost renegotiation to protect profitability.</t>
        </is>
      </c>
    </row>
    <row r="9" ht="50" customHeight="1">
      <c r="A9" s="33" t="inlineStr">
        <is>
          <t>6</t>
        </is>
      </c>
      <c r="B9" s="34" t="inlineStr">
        <is>
          <t>Quantity vs Revenue Mismatch</t>
        </is>
      </c>
      <c r="C9" s="33" t="inlineStr">
        <is>
          <t>Some products sell in high quantities but contribute minimally to revenue — bundle or upsell strategies could improve average order value for these SKUs.</t>
        </is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2026-06-22T06:50:31Z</dcterms:created>
  <dcterms:modified xmlns:dcterms="http://purl.org/dc/terms/" xmlns:xsi="http://www.w3.org/2001/XMLSchema-instance" xsi:type="dcterms:W3CDTF">2026-06-22T06:50:31Z</dcterms:modified>
</cp:coreProperties>
</file>